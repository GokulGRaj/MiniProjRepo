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4.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0FAF59A4-0311-4F34-A08D-E65E84DCA0CF}" xr6:coauthVersionLast="47" xr6:coauthVersionMax="47" xr10:uidLastSave="{00000000-0000-0000-0000-000000000000}"/>
  <bookViews>
    <workbookView xWindow="-110" yWindow="-110" windowWidth="19420" windowHeight="10300" xr2:uid="{334D6434-17F0-49A9-A353-F29BFA558E76}"/>
  </bookViews>
  <sheets>
    <sheet name="disney_plus_shows_cleaned" sheetId="2" r:id="rId1"/>
    <sheet name="Writer_Table_Cleaned" sheetId="11" r:id="rId2"/>
    <sheet name="Type_Table_Cleaned" sheetId="7" r:id="rId3"/>
    <sheet name="Actors_Table_Cleaned" sheetId="9" r:id="rId4"/>
    <sheet name="Genre_Table_Cleaned" sheetId="6" r:id="rId5"/>
    <sheet name="Language_Table_Cleaned" sheetId="13" r:id="rId6"/>
    <sheet name="Country_Table_Cleaned" sheetId="15" r:id="rId7"/>
    <sheet name="disney_plus_shows" sheetId="1" r:id="rId8"/>
  </sheets>
  <definedNames>
    <definedName name="_xlcn.WorksheetConnection_disney_plus_shows.xlsxActors_Table_Cleaned1" hidden="1">Actors_Table_Cleaned[]</definedName>
    <definedName name="_xlcn.WorksheetConnection_disney_plus_shows.xlsxCountry_Table_Cleaned1" hidden="1">Country_Table_Cleaned[]</definedName>
    <definedName name="_xlcn.WorksheetConnection_disney_plus_shows.xlsxLanguage_Table_Cleaned1" hidden="1">Language_Table_Cleaned[]</definedName>
    <definedName name="_xlcn.WorksheetConnection_disney_plus_shows.xlsxWriter_Table_Cleaned1" hidden="1">Writer_Table_Cleaned[]</definedName>
    <definedName name="ExternalData_1" localSheetId="3" hidden="1">Actors_Table_Cleaned!$A$1:$B$73</definedName>
    <definedName name="ExternalData_1" localSheetId="6" hidden="1">'Country_Table_Cleaned'!$A$1:$B$30</definedName>
    <definedName name="ExternalData_1" localSheetId="0" hidden="1">disney_plus_shows_cleaned!$A$1:$S$21</definedName>
    <definedName name="ExternalData_1" localSheetId="4" hidden="1">Genre_Table_Cleaned!$A$1:$B$86</definedName>
    <definedName name="ExternalData_1" localSheetId="5" hidden="1">Language_Table_Cleaned!$A$1:$B$25</definedName>
    <definedName name="ExternalData_1" localSheetId="2" hidden="1">Type_Table_Cleaned!$A$1:$C$21</definedName>
    <definedName name="ExternalData_1" localSheetId="1" hidden="1">Writer_Table_Cleaned!$A$1:$B$102</definedName>
  </definedNames>
  <calcPr calcId="191029"/>
  <pivotCaches>
    <pivotCache cacheId="11" r:id="rId9"/>
    <pivotCache cacheId="12" r:id="rId10"/>
    <pivotCache cacheId="13" r:id="rId11"/>
    <pivotCache cacheId="17" r:id="rId12"/>
  </pivotCaches>
  <extLst>
    <ext xmlns:x15="http://schemas.microsoft.com/office/spreadsheetml/2010/11/main" uri="{FCE2AD5D-F65C-4FA6-A056-5C36A1767C68}">
      <x15:dataModel>
        <x15:modelTables>
          <x15:modelTable id="Writer_Table_Cleaned" name="Writer_Table_Cleaned" connection="WorksheetConnection_disney_plus_shows.xlsx!Writer_Table_Cleaned"/>
          <x15:modelTable id="Language_Table_Cleaned" name="Language_Table_Cleaned" connection="WorksheetConnection_disney_plus_shows.xlsx!Language_Table_Cleaned"/>
          <x15:modelTable id="Actors_Table_Cleaned" name="Actors_Table_Cleaned" connection="WorksheetConnection_disney_plus_shows.xlsx!Actors_Table_Cleaned"/>
          <x15:modelTable id="Country_Table_Cleaned" name="Country_Table_Cleaned" connection="WorksheetConnection_disney_plus_shows.xlsx!Country_Table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BCD09C-9A33-4FC4-9EE6-2E26764D05E8}" keepAlive="1" name="Query - Actors_Table_Cleaned" description="Connection to the 'Actors_Table_Cleaned' query in the workbook." type="5" refreshedVersion="8" background="1" saveData="1">
    <dbPr connection="Provider=Microsoft.Mashup.OleDb.1;Data Source=$Workbook$;Location=Actors_Table_Cleaned;Extended Properties=&quot;&quot;" command="SELECT * FROM [Actors_Table_Cleaned]"/>
  </connection>
  <connection id="2" xr16:uid="{D68057BB-B0B7-4556-9BD6-E3C0621A3D3D}" keepAlive="1" name="Query - Country_Table_Cleaned" description="Connection to the 'Country_Table_Cleaned' query in the workbook." type="5" refreshedVersion="8" background="1" saveData="1">
    <dbPr connection="Provider=Microsoft.Mashup.OleDb.1;Data Source=$Workbook$;Location=Country_Table_Cleaned;Extended Properties=&quot;&quot;" command="SELECT * FROM [Country_Table_Cleaned]"/>
  </connection>
  <connection id="3" xr16:uid="{86912289-5959-4BFC-9EAC-C562CC8CE765}" keepAlive="1" name="Query - disney_plus_shows" description="Connection to the 'disney_plus_shows' query in the workbook." type="5" refreshedVersion="8" background="1" saveData="1">
    <dbPr connection="Provider=Microsoft.Mashup.OleDb.1;Data Source=$Workbook$;Location=disney_plus_shows;Extended Properties=&quot;&quot;" command="SELECT * FROM [disney_plus_shows]"/>
  </connection>
  <connection id="4" xr16:uid="{7B99E2DD-5B09-48EB-9680-C1EC6EA5EE58}" keepAlive="1" name="Query - disney_plus_shows (2)" description="Connection to the 'disney_plus_shows (2)' query in the workbook." type="5" refreshedVersion="8" background="1" saveData="1">
    <dbPr connection="Provider=Microsoft.Mashup.OleDb.1;Data Source=$Workbook$;Location=&quot;disney_plus_shows (2)&quot;;Extended Properties=&quot;&quot;" command="SELECT * FROM [disney_plus_shows (2)]"/>
  </connection>
  <connection id="5" xr16:uid="{74E3FDB5-D9B3-407B-8844-68ECDD6809CF}" keepAlive="1" name="Query - Genre_Table_Cleaned" description="Connection to the 'Genre_Table_Cleaned' query in the workbook." type="5" refreshedVersion="8" background="1" saveData="1">
    <dbPr connection="Provider=Microsoft.Mashup.OleDb.1;Data Source=$Workbook$;Location=Genre_Table_Cleaned;Extended Properties=&quot;&quot;" command="SELECT * FROM [Genre_Table_Cleaned]"/>
  </connection>
  <connection id="6" xr16:uid="{2D59CD90-CA18-4064-84D8-B80914F0147D}" keepAlive="1" name="Query - Language_Table_Cleaned" description="Connection to the 'Language_Table_Cleaned' query in the workbook." type="5" refreshedVersion="8" background="1" saveData="1">
    <dbPr connection="Provider=Microsoft.Mashup.OleDb.1;Data Source=$Workbook$;Location=Language_Table_Cleaned;Extended Properties=&quot;&quot;" command="SELECT * FROM [Language_Table_Cleaned]"/>
  </connection>
  <connection id="7" xr16:uid="{27B52B20-0F9D-466B-81B4-1D0C27E4D98C}" keepAlive="1" name="Query - Type_Table_Cleaned" description="Connection to the 'Type_Table_Cleaned' query in the workbook." type="5" refreshedVersion="8" background="1" saveData="1">
    <dbPr connection="Provider=Microsoft.Mashup.OleDb.1;Data Source=$Workbook$;Location=Type_Table_Cleaned;Extended Properties=&quot;&quot;" command="SELECT * FROM [Type_Table_Cleaned]"/>
  </connection>
  <connection id="8" xr16:uid="{29E53111-3CD5-4D4A-A206-9E47938821BB}" keepAlive="1" name="Query - Writer_Table_Cleaned" description="Connection to the 'Writer_Table_Cleaned' query in the workbook." type="5" refreshedVersion="8" background="1" saveData="1">
    <dbPr connection="Provider=Microsoft.Mashup.OleDb.1;Data Source=$Workbook$;Location=Writer_Table_Cleaned;Extended Properties=&quot;&quot;" command="SELECT * FROM [Writer_Table_Cleaned]"/>
  </connection>
  <connection id="9" xr16:uid="{E0CB102D-2511-4381-9BA6-8E090C9C3E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CF38FEA-BCF4-4E95-ACE5-8DFE3552B604}" name="WorksheetConnection_disney_plus_shows.xlsx!Actors_Table_Cleaned" type="102" refreshedVersion="8" minRefreshableVersion="5">
    <extLst>
      <ext xmlns:x15="http://schemas.microsoft.com/office/spreadsheetml/2010/11/main" uri="{DE250136-89BD-433C-8126-D09CA5730AF9}">
        <x15:connection id="Actors_Table_Cleaned" autoDelete="1">
          <x15:rangePr sourceName="_xlcn.WorksheetConnection_disney_plus_shows.xlsxActors_Table_Cleaned1"/>
        </x15:connection>
      </ext>
    </extLst>
  </connection>
  <connection id="11" xr16:uid="{1610141A-137E-4C5D-B82B-5A968305A35C}" name="WorksheetConnection_disney_plus_shows.xlsx!Country_Table_Cleaned" type="102" refreshedVersion="8" minRefreshableVersion="5">
    <extLst>
      <ext xmlns:x15="http://schemas.microsoft.com/office/spreadsheetml/2010/11/main" uri="{DE250136-89BD-433C-8126-D09CA5730AF9}">
        <x15:connection id="Country_Table_Cleaned" autoDelete="1">
          <x15:rangePr sourceName="_xlcn.WorksheetConnection_disney_plus_shows.xlsxCountry_Table_Cleaned1"/>
        </x15:connection>
      </ext>
    </extLst>
  </connection>
  <connection id="12" xr16:uid="{BAD18ECA-2F0A-4E4B-8E76-D98054ACB620}" name="WorksheetConnection_disney_plus_shows.xlsx!Language_Table_Cleaned" type="102" refreshedVersion="8" minRefreshableVersion="5">
    <extLst>
      <ext xmlns:x15="http://schemas.microsoft.com/office/spreadsheetml/2010/11/main" uri="{DE250136-89BD-433C-8126-D09CA5730AF9}">
        <x15:connection id="Language_Table_Cleaned" autoDelete="1">
          <x15:rangePr sourceName="_xlcn.WorksheetConnection_disney_plus_shows.xlsxLanguage_Table_Cleaned1"/>
        </x15:connection>
      </ext>
    </extLst>
  </connection>
  <connection id="13" xr16:uid="{5BDC8FD0-785A-4D68-A92C-5D015C7558DE}" name="WorksheetConnection_disney_plus_shows.xlsx!Writer_Table_Cleaned" type="102" refreshedVersion="8" minRefreshableVersion="5">
    <extLst>
      <ext xmlns:x15="http://schemas.microsoft.com/office/spreadsheetml/2010/11/main" uri="{DE250136-89BD-433C-8126-D09CA5730AF9}">
        <x15:connection id="Writer_Table_Cleaned" autoDelete="1">
          <x15:rangePr sourceName="_xlcn.WorksheetConnection_disney_plus_shows.xlsxWriter_Table_Cleaned1"/>
        </x15:connection>
      </ext>
    </extLst>
  </connection>
</connections>
</file>

<file path=xl/sharedStrings.xml><?xml version="1.0" encoding="utf-8"?>
<sst xmlns="http://schemas.openxmlformats.org/spreadsheetml/2006/main" count="1323" uniqueCount="385">
  <si>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</si>
  <si>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</si>
  <si>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</si>
  <si>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</si>
  <si>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</si>
  <si>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</si>
  <si>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</si>
  <si>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</si>
  <si>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</si>
  <si>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</si>
  <si>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</si>
  <si>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</si>
  <si>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</si>
  <si>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</si>
  <si>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</si>
  <si>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</si>
  <si>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</si>
  <si>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</si>
  <si>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</si>
  <si>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tt0147800</t>
  </si>
  <si>
    <t>10 Things I Hate About You</t>
  </si>
  <si>
    <t>A pretty, popular teenager can't go out on a date until her ill-tempered older sister does.</t>
  </si>
  <si>
    <t>Movie</t>
  </si>
  <si>
    <t>PG-13</t>
  </si>
  <si>
    <t>97 min</t>
  </si>
  <si>
    <t>Comedy, Drama, Romance</t>
  </si>
  <si>
    <t>Gil Junger</t>
  </si>
  <si>
    <t>Karen McCullah, Kirsten Smith</t>
  </si>
  <si>
    <t>Heath Ledger, Julia Stiles, Joseph Gordon-Levitt, Larisa Oleynik</t>
  </si>
  <si>
    <t>English, French</t>
  </si>
  <si>
    <t>USA</t>
  </si>
  <si>
    <t>2 wins &amp; 13 nominations.</t>
  </si>
  <si>
    <t>tt7019028</t>
  </si>
  <si>
    <t>101 Dalmatian Street</t>
  </si>
  <si>
    <t>This series follows the lives of Delilah and Doug, descendants of Pongo and Perdita, and their 99 dalmatian pups at 101 Dalmatian Street, Camden Town.</t>
  </si>
  <si>
    <t>Series</t>
  </si>
  <si>
    <t>UNKNOWN RATING</t>
  </si>
  <si>
    <t>Unknown</t>
  </si>
  <si>
    <t>Animation, Comedy, Family</t>
  </si>
  <si>
    <t>Unknown Director</t>
  </si>
  <si>
    <t>Unknown Writer</t>
  </si>
  <si>
    <t>Josh Brener, Michaela Dietz, Bert Davis, Abigail Zoe Lewis</t>
  </si>
  <si>
    <t>English</t>
  </si>
  <si>
    <t>UK, USA, Canada</t>
  </si>
  <si>
    <t>Unknown Awards.</t>
  </si>
  <si>
    <t>tt0115433</t>
  </si>
  <si>
    <t>101 Dalmatians</t>
  </si>
  <si>
    <t>An evil high-fashion designer plots to steal Dalmatian puppies in order to make an extravagant fur coat, but instead creates an extravagant mess.</t>
  </si>
  <si>
    <t>G</t>
  </si>
  <si>
    <t>103 min</t>
  </si>
  <si>
    <t>Adventure, Comedy, Crime, Family</t>
  </si>
  <si>
    <t>Stephen Herek</t>
  </si>
  <si>
    <t>Dodie Smith (novel), John Hughes (screenplay)</t>
  </si>
  <si>
    <t>Glenn Close, Jeff Daniels, Joely Richardson, Joan Plowright</t>
  </si>
  <si>
    <t>English, Spanish</t>
  </si>
  <si>
    <t>USA, UK</t>
  </si>
  <si>
    <t>Nominated for 1 Golden Globe. Another 3 wins &amp; 9 nominations.</t>
  </si>
  <si>
    <t>tt0324941</t>
  </si>
  <si>
    <t>101 Dalmatians 2: Patch's London Adventure</t>
  </si>
  <si>
    <t>Being one of 101 takes its toll on Patch, who doesn't feel unique. When he's accidentally left behind on moving day, he meets his idol, Thunderbolt, who enlists him on a publicity campaign.</t>
  </si>
  <si>
    <t>74 min</t>
  </si>
  <si>
    <t>Animation, Adventure, Comedy, Family, Musical</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</si>
  <si>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</si>
  <si>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</si>
  <si>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</si>
  <si>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</si>
  <si>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tt0211181</t>
  </si>
  <si>
    <t>102 Dalmatians</t>
  </si>
  <si>
    <t>Cruella DeVil gets out of prison and goes after the puppies once more.</t>
  </si>
  <si>
    <t>100 min</t>
  </si>
  <si>
    <t>Adventure, Comedy, Family</t>
  </si>
  <si>
    <t>Kevin Lima</t>
  </si>
  <si>
    <t>Dodie Smith (novel), Kristen Buckley (story), Brian Regan (story), Kristen Buckley (screenplay), Brian Regan (screenplay), Bob Tzudiker (screenplay), Noni White (screenplay)</t>
  </si>
  <si>
    <t>Glenn Close, Gérard Depardieu, Ioan Gruffudd, Alice Evans</t>
  </si>
  <si>
    <t>Nominated for 1 Oscar. Another 1 win &amp; 7 nominations.</t>
  </si>
  <si>
    <t>tt1846442</t>
  </si>
  <si>
    <t>12 Dates of Christmas</t>
  </si>
  <si>
    <t>A story that follows Kate, a young woman who after a horrible blind date on Christmas Eve, wakes up to find she is re-living that same day and date all over again.</t>
  </si>
  <si>
    <t>PG</t>
  </si>
  <si>
    <t>90 min</t>
  </si>
  <si>
    <t>Comedy, Fantasy, Romance</t>
  </si>
  <si>
    <t>James Hayman</t>
  </si>
  <si>
    <t>Aaron Mendelsohn (teleplay), Janet Brownell (teleplay), Aaron Mendelsohn (story), Blake Harris (story)</t>
  </si>
  <si>
    <t>Laura Miyata, Vijay Mehta, Amy Smart, Audrey Dwyer</t>
  </si>
  <si>
    <t>1 nomination.</t>
  </si>
  <si>
    <t>tt0046672</t>
  </si>
  <si>
    <t>20,000 Leagues Under the Sea</t>
  </si>
  <si>
    <t>A ship sent to investigate a wave of mysterious sinkings encounters the advanced submarine, the Nautilus, commanded by Captain Nemo.</t>
  </si>
  <si>
    <t>127 min</t>
  </si>
  <si>
    <t>Adventure, Drama, Family, Fantasy, Sci-Fi</t>
  </si>
  <si>
    <t>Richard Fleischer</t>
  </si>
  <si>
    <t>Earl Felton (screenplay)</t>
  </si>
  <si>
    <t>Kirk Douglas, James Mason, Paul Lukas, Peter Lorre</t>
  </si>
  <si>
    <t>Won 2 Oscars. Another 3 wins &amp; 3 nominations.</t>
  </si>
  <si>
    <t>tt0120623</t>
  </si>
  <si>
    <t>A Bug's Life</t>
  </si>
  <si>
    <t>A misfit ant, looking for "warriors" to save his colony from greedy grasshoppers, recruits a group of bugs that turn out to be an inept circus troupe.</t>
  </si>
  <si>
    <t>95 min</t>
  </si>
  <si>
    <t>Animation, Adventure, Comedy, Family</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</si>
  <si>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</si>
  <si>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</si>
  <si>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</si>
  <si>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</si>
  <si>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</si>
  <si>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</si>
  <si>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Unknown Plot</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</si>
  <si>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</si>
  <si>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</si>
  <si>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</si>
  <si>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</si>
  <si>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</si>
  <si>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</si>
  <si>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78 min</t>
  </si>
  <si>
    <t>Animation, Adventure, Comedy, Family, Musical, Romance</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</si>
  <si>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</si>
  <si>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</si>
  <si>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USA, Australia, France, Canada</t>
  </si>
  <si>
    <t>5 nominations.</t>
  </si>
  <si>
    <t>tt0113538</t>
  </si>
  <si>
    <t>A Kid in King Arthur's Court</t>
  </si>
  <si>
    <t>A Little League player is sent back into medieval times where he is given the task of saving Camelot.</t>
  </si>
  <si>
    <t>89 min</t>
  </si>
  <si>
    <t>Adventure, Comedy, Family, Fantasy, Romance</t>
  </si>
  <si>
    <t>Michael Gottlieb</t>
  </si>
  <si>
    <t>Michael Part, Robert L. Levy</t>
  </si>
  <si>
    <t>Thomas Ian Nicholas, Joss Ackland, Art Malik, Paloma Baeza</t>
  </si>
  <si>
    <t>USA, Hungary, UK</t>
  </si>
  <si>
    <t>tt0038674</t>
  </si>
  <si>
    <t>A Knight for a Day</t>
  </si>
  <si>
    <t>By accident, Cedric (Goofy), replaces his master, Sir Loinsteak, in the armor just before the joust with champion Sir Cumference.</t>
  </si>
  <si>
    <t>APPROVED</t>
  </si>
  <si>
    <t>7 min</t>
  </si>
  <si>
    <t>Animation, Short, Comedy</t>
  </si>
  <si>
    <t>Jack Hannah</t>
  </si>
  <si>
    <t>Bill Peet (story)</t>
  </si>
  <si>
    <t>Pinto Colvig</t>
  </si>
  <si>
    <t>tt0282123</t>
  </si>
  <si>
    <t>A Ring of Endless Light</t>
  </si>
  <si>
    <t>Based on the Novel by Madeline L'Engle. During the summer her grandfather is dying of leukemia and death seems all around, 15-year-old Vicky finds comfort with the pod of dolphins with ...</t>
  </si>
  <si>
    <t>TV-G</t>
  </si>
  <si>
    <t>88 min</t>
  </si>
  <si>
    <t>Drama, Family, Romance</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</si>
  <si>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</si>
  <si>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</si>
  <si>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</si>
  <si>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</si>
  <si>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</si>
  <si>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</si>
  <si>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</si>
  <si>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48 min</t>
  </si>
  <si>
    <t>Adventure, Family</t>
  </si>
  <si>
    <t>Jack Speirs</t>
  </si>
  <si>
    <t>Mayf Nutter</t>
  </si>
  <si>
    <t>tt1620680</t>
  </si>
  <si>
    <t>A Wrinkle in Time</t>
  </si>
  <si>
    <t>After the disappearance of her scientist father, three peculiar beings send Meg, her brother, and her friend to space in order to find him.</t>
  </si>
  <si>
    <t>109 min</t>
  </si>
  <si>
    <t>Adventure, Family, Fantasy, Sci-Fi</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</si>
  <si>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</si>
  <si>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</si>
  <si>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</si>
  <si>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</si>
  <si>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</si>
  <si>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</si>
  <si>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</si>
  <si>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128 min</t>
  </si>
  <si>
    <t>Adventure, Family, Fantasy, Musical, Romance</t>
  </si>
  <si>
    <t>Guy Ritchie</t>
  </si>
  <si>
    <t>John August (screenplay by), Guy Ritchie (screenplay by)</t>
  </si>
  <si>
    <t>Will Smith, Mena Massoud, Naomi Scott, Marwan Kenzari</t>
  </si>
  <si>
    <t>English, Arabic</t>
  </si>
  <si>
    <t>7 wins &amp; 32 nominations.</t>
  </si>
  <si>
    <t>tt0103639</t>
  </si>
  <si>
    <t>A kindhearted street urchin and a power-hungry Grand Vizier vie for a magic lamp that has the power to make their deepest wishes come true.</t>
  </si>
  <si>
    <t>Animation, Adventure, Comedy, Family, Fantasy, Musical, Romance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</si>
  <si>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</si>
  <si>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</si>
  <si>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</si>
  <si>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</si>
  <si>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tt0115491</t>
  </si>
  <si>
    <t>Aladdin and the King of Thieves</t>
  </si>
  <si>
    <t>The King of Thieves disrupts Aladdin and Jasmine's long-anticipated wedding, looking for an oracle that will lead him to an even bigger treasure. His true identity causes trouble for Aladdin.</t>
  </si>
  <si>
    <t>NOT RATED</t>
  </si>
  <si>
    <t>81 min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</si>
  <si>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</si>
  <si>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</si>
  <si>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</si>
  <si>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</si>
  <si>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</si>
  <si>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</si>
  <si>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69 min</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</si>
  <si>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</si>
  <si>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</si>
  <si>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</si>
  <si>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</si>
  <si>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</si>
  <si>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</si>
  <si>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75 min</t>
  </si>
  <si>
    <t>Animation, Adventure, Family, Fantasy, Musical</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</si>
  <si>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</si>
  <si>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</si>
  <si>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</si>
  <si>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</si>
  <si>
    <t>Comedy</t>
  </si>
  <si>
    <t>Drama</t>
  </si>
  <si>
    <t>Romance</t>
  </si>
  <si>
    <t>Animation</t>
  </si>
  <si>
    <t>Family</t>
  </si>
  <si>
    <t>Adventure</t>
  </si>
  <si>
    <t>Crime</t>
  </si>
  <si>
    <t>Musical</t>
  </si>
  <si>
    <t>Fantasy</t>
  </si>
  <si>
    <t>Sci-Fi</t>
  </si>
  <si>
    <t>Short</t>
  </si>
  <si>
    <t>Heath Ledger</t>
  </si>
  <si>
    <t>Julia Stiles</t>
  </si>
  <si>
    <t>Joseph Gordon-Levitt</t>
  </si>
  <si>
    <t>Larisa Oleynik</t>
  </si>
  <si>
    <t>Josh Brener</t>
  </si>
  <si>
    <t>Michaela Dietz</t>
  </si>
  <si>
    <t>Bert Davis</t>
  </si>
  <si>
    <t>Abigail Zoe Lewis</t>
  </si>
  <si>
    <t>Glenn Close</t>
  </si>
  <si>
    <t>Jeff Daniels</t>
  </si>
  <si>
    <t>Joely Richardson</t>
  </si>
  <si>
    <t>Joan Plowright</t>
  </si>
  <si>
    <t>Barry Bostwick</t>
  </si>
  <si>
    <t>Jason Alexander</t>
  </si>
  <si>
    <t>Martin Short</t>
  </si>
  <si>
    <t>Bobby Lockwood</t>
  </si>
  <si>
    <t>Gérard Depardieu</t>
  </si>
  <si>
    <t>Ioan Gruffudd</t>
  </si>
  <si>
    <t>Alice Evans</t>
  </si>
  <si>
    <t>Laura Miyata</t>
  </si>
  <si>
    <t>Vijay Mehta</t>
  </si>
  <si>
    <t>Amy Smart</t>
  </si>
  <si>
    <t>Audrey Dwyer</t>
  </si>
  <si>
    <t>Kirk Douglas</t>
  </si>
  <si>
    <t>James Mason</t>
  </si>
  <si>
    <t>Paul Lukas</t>
  </si>
  <si>
    <t>Peter Lorre</t>
  </si>
  <si>
    <t>Dave Foley</t>
  </si>
  <si>
    <t>Kevin Spacey</t>
  </si>
  <si>
    <t>Julia Louis-Dreyfus</t>
  </si>
  <si>
    <t>Hayden Panettiere</t>
  </si>
  <si>
    <t>Benjamin Bratt</t>
  </si>
  <si>
    <t>Eva Longoria</t>
  </si>
  <si>
    <t>Bill Farmer</t>
  </si>
  <si>
    <t>Jason Marsden</t>
  </si>
  <si>
    <t>Jim Cummings</t>
  </si>
  <si>
    <t>Kellie Martin</t>
  </si>
  <si>
    <t>Thomas Ian Nicholas</t>
  </si>
  <si>
    <t>Joss Ackland</t>
  </si>
  <si>
    <t>Art Malik</t>
  </si>
  <si>
    <t>Paloma Baeza</t>
  </si>
  <si>
    <t>Mischa Barton</t>
  </si>
  <si>
    <t>Ryan Merriman</t>
  </si>
  <si>
    <t>Jared Padalecki</t>
  </si>
  <si>
    <t>Scarlett Pomers</t>
  </si>
  <si>
    <t>Storm Reid</t>
  </si>
  <si>
    <t>Oprah Winfrey</t>
  </si>
  <si>
    <t>Reese Witherspoon</t>
  </si>
  <si>
    <t>Mindy Kaling</t>
  </si>
  <si>
    <t>Will Smith</t>
  </si>
  <si>
    <t>Mena Massoud</t>
  </si>
  <si>
    <t>Naomi Scott</t>
  </si>
  <si>
    <t>Marwan Kenzari</t>
  </si>
  <si>
    <t>Scott Weinger</t>
  </si>
  <si>
    <t>Robin Williams</t>
  </si>
  <si>
    <t>Linda Larkin</t>
  </si>
  <si>
    <t>Jonathan Freeman</t>
  </si>
  <si>
    <t>Val Bettin</t>
  </si>
  <si>
    <t>Gilbert Gottfried</t>
  </si>
  <si>
    <t>Jeff Bennett</t>
  </si>
  <si>
    <t>Kathryn Beaumont</t>
  </si>
  <si>
    <t>Ed Wynn</t>
  </si>
  <si>
    <t>Richard Haydn</t>
  </si>
  <si>
    <t>Sterling Holloway</t>
  </si>
  <si>
    <t>Grand Total</t>
  </si>
  <si>
    <t>Count of Actors</t>
  </si>
  <si>
    <t>Writers</t>
  </si>
  <si>
    <t>Karen McCullah</t>
  </si>
  <si>
    <t>Kirsten Smith</t>
  </si>
  <si>
    <t>Dodie Smith (novel)</t>
  </si>
  <si>
    <t>John Hughes (screenplay)</t>
  </si>
  <si>
    <t>Jim Kammerud (story)</t>
  </si>
  <si>
    <t>Dan Root (story)</t>
  </si>
  <si>
    <t>Garrett K. Schiff (story)</t>
  </si>
  <si>
    <t>Brian Smith (story)</t>
  </si>
  <si>
    <t>Jim Kammerud (screenplay)</t>
  </si>
  <si>
    <t>Brian Smith (screenplay)</t>
  </si>
  <si>
    <t>Michael Lucker</t>
  </si>
  <si>
    <t>Temple Mathews (additional script material)</t>
  </si>
  <si>
    <t>Kristen Buckley (story)</t>
  </si>
  <si>
    <t>Brian Regan (story)</t>
  </si>
  <si>
    <t>Kristen Buckley (screenplay)</t>
  </si>
  <si>
    <t>Brian Regan (screenplay)</t>
  </si>
  <si>
    <t>Bob Tzudiker (screenplay)</t>
  </si>
  <si>
    <t>Noni White (screenplay)</t>
  </si>
  <si>
    <t>Aaron Mendelsohn (teleplay)</t>
  </si>
  <si>
    <t>Janet Brownell (teleplay)</t>
  </si>
  <si>
    <t>Aaron Mendelsohn (story)</t>
  </si>
  <si>
    <t>Blake Harris (story)</t>
  </si>
  <si>
    <t>John Lasseter (original story by)</t>
  </si>
  <si>
    <t>Andrew Stanton (original story by)</t>
  </si>
  <si>
    <t>Joe Ranft (original story by)</t>
  </si>
  <si>
    <t>Andrew Stanton (screenplay by)</t>
  </si>
  <si>
    <t>Don McEnery (screenplay by)</t>
  </si>
  <si>
    <t>Bob Shaw (screenplay by)</t>
  </si>
  <si>
    <t>Jymn Magon (story)</t>
  </si>
  <si>
    <t>Jymn Magon (screenplay)</t>
  </si>
  <si>
    <t>Chris Matheson (screenplay)</t>
  </si>
  <si>
    <t>Brian Pimental (screenplay)</t>
  </si>
  <si>
    <t>Brian Pimental (story supervisor)</t>
  </si>
  <si>
    <t>Curtis Armstrong (additional written material)</t>
  </si>
  <si>
    <t>John Doolittle (additional written material)</t>
  </si>
  <si>
    <t>Michael Part</t>
  </si>
  <si>
    <t>Robert L. Levy</t>
  </si>
  <si>
    <t>Madeleine L'Engle (novel)</t>
  </si>
  <si>
    <t>Marita Giovanni (teleplay)</t>
  </si>
  <si>
    <t>Bruce Graham (teleplay)</t>
  </si>
  <si>
    <t>Jennifer Lee (screenplay by)</t>
  </si>
  <si>
    <t>Jeff Stockwell (screenplay by)</t>
  </si>
  <si>
    <t>Madeleine L'Engle (based upon the novel by)</t>
  </si>
  <si>
    <t>John August (screenplay by)</t>
  </si>
  <si>
    <t>Guy Ritchie (screenplay by)</t>
  </si>
  <si>
    <t>Ron Clements (screenplay by)</t>
  </si>
  <si>
    <t>John Musker (screenplay by)</t>
  </si>
  <si>
    <t>Ted Elliott (screenplay by)</t>
  </si>
  <si>
    <t>Terry Rossio (screenplay by)</t>
  </si>
  <si>
    <t>Burny Mattinson (story)</t>
  </si>
  <si>
    <t>Roger Allers (story)</t>
  </si>
  <si>
    <t>Daan Jippes (story)</t>
  </si>
  <si>
    <t>Kevin Harkey (story)</t>
  </si>
  <si>
    <t>Sue C. Nichols (story)</t>
  </si>
  <si>
    <t>Francis Glebas (story)</t>
  </si>
  <si>
    <t>Darrell Rooney (story)</t>
  </si>
  <si>
    <t>Larry Leker (story)</t>
  </si>
  <si>
    <t>James Fujii (story)</t>
  </si>
  <si>
    <t>Kirk Hanson (story)</t>
  </si>
  <si>
    <t>Kevin Lima (story)</t>
  </si>
  <si>
    <t>Rebecca Rees (story)</t>
  </si>
  <si>
    <t>David S. Smith (story)</t>
  </si>
  <si>
    <t>Chris Sanders (story)</t>
  </si>
  <si>
    <t>Brian Pimental (story)</t>
  </si>
  <si>
    <t>Patrick A. Ventura (story)</t>
  </si>
  <si>
    <t>Mark McCorkle (screenplay by)</t>
  </si>
  <si>
    <t>Robert Schooley (screenplay)</t>
  </si>
  <si>
    <t>Duane Capizzi (story)</t>
  </si>
  <si>
    <t>Doug Langdale (story)</t>
  </si>
  <si>
    <t>Mark McCorkle (story)</t>
  </si>
  <si>
    <t>Robert Schooley (story)</t>
  </si>
  <si>
    <t>Tad Stones (story)</t>
  </si>
  <si>
    <t>Kevin Campbell</t>
  </si>
  <si>
    <t>Mirith J. Colao</t>
  </si>
  <si>
    <t>Bill Motz</t>
  </si>
  <si>
    <t>Steve Roberts</t>
  </si>
  <si>
    <t>Dev Ross</t>
  </si>
  <si>
    <t>Bob Roth</t>
  </si>
  <si>
    <t>Jan Strnad</t>
  </si>
  <si>
    <t>Brian Swenlin</t>
  </si>
  <si>
    <t>Lewis Carroll (adaptation)</t>
  </si>
  <si>
    <t>Winston Hibler (story)</t>
  </si>
  <si>
    <t>Ted Sears (story)</t>
  </si>
  <si>
    <t>Erdman Penner (story)</t>
  </si>
  <si>
    <t>Joe Rinaldi (story)</t>
  </si>
  <si>
    <t>Milt Banta (story)</t>
  </si>
  <si>
    <t>William Cottrell (story)</t>
  </si>
  <si>
    <t>Dick Kelsey (story)</t>
  </si>
  <si>
    <t>Joe Grant (story)</t>
  </si>
  <si>
    <t>Dick Huemer (story)</t>
  </si>
  <si>
    <t>Del Connell (story)</t>
  </si>
  <si>
    <t>Tom Oreb (story)</t>
  </si>
  <si>
    <t>John Walbridge (story)</t>
  </si>
  <si>
    <t>Count of Writers</t>
  </si>
  <si>
    <t>French</t>
  </si>
  <si>
    <t>Spanish</t>
  </si>
  <si>
    <t>Arabic</t>
  </si>
  <si>
    <t>Count of Language</t>
  </si>
  <si>
    <t>UK</t>
  </si>
  <si>
    <t>Canada</t>
  </si>
  <si>
    <t>Australia</t>
  </si>
  <si>
    <t>France</t>
  </si>
  <si>
    <t>Hungary</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</si>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</sst>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636289930553" backgroundQuery="1" createdVersion="8" refreshedVersion="8" minRefreshableVersion="3" recordCount="0" supportSubquery="1" supportAdvancedDrill="1" xr:uid="{1686E2DF-BCAB-4C18-A74D-19D497D9937A}">
  <cacheSource type="external" connectionId="9"/>
  <cacheFields count="2">
    <cacheField name="[Writer_Table_Cleaned].[imdb_id].[imdb_id]" caption="imdb_id" numFmtId="0" hierarchy="6" level="1">
      <sharedItems count="20">
        <s v="tt0038674"/>
        <s v="tt0043274"/>
        <s v="tt0046672"/>
        <s v="tt0103639"/>
        <s v="tt0107952"/>
        <s v="tt0113198"/>
        <s v="tt0113538"/>
        <s v="tt0115433"/>
        <s v="tt0115491"/>
        <s v="tt0120623"/>
        <s v="tt0147800"/>
        <s v="tt0211181"/>
        <s v="tt0282123"/>
        <s v="tt0287003"/>
        <s v="tt0324941"/>
        <s v="tt12076020"/>
        <s v="tt1620680"/>
        <s v="tt1846442"/>
        <s v="tt6139732"/>
        <s v="tt7019028"/>
      </sharedItems>
    </cacheField>
    <cacheField name="[Measures].[Count of Writers]" caption="Count of Writers" numFmtId="0" hierarchy="15" level="32767"/>
  </cacheFields>
  <cacheHierarchies count="18">
    <cacheHierarchy uniqueName="[Actors_Table_Cleaned].[imdb_id]" caption="imdb_id" attribute="1" defaultMemberUniqueName="[Actors_Table_Cleaned].[imdb_id].[All]" allUniqueName="[Actors_Table_Cleaned].[imdb_id].[All]" dimensionUniqueName="[Actors_Table_Cleaned]" displayFolder="" count="0" memberValueDatatype="130" unbalanced="0"/>
    <cacheHierarchy uniqueName="[Actors_Table_Cleaned].[Actors]" caption="Actors" attribute="1" defaultMemberUniqueName="[Actors_Table_Cleaned].[Actors].[All]" allUniqueName="[Actors_Table_Cleaned].[Actors].[All]" dimensionUniqueName="[Actors_Table_Cleaned]" displayFolder="" count="0" memberValueDatatype="130" unbalanced="0"/>
    <cacheHierarchy uniqueName="[Country_Table_Cleaned].[Title]" caption="Title" attribute="1" defaultMemberUniqueName="[Country_Table_Cleaned].[Title].[All]" allUniqueName="[Country_Table_Cleaned].[Title].[All]" dimensionUniqueName="[Country_Table_Cleaned]" displayFolder="" count="0" memberValueDatatype="130" unbalanced="0"/>
    <cacheHierarchy uniqueName="[Country_Table_Cleaned].[Country]" caption="Country" attribute="1" defaultMemberUniqueName="[Country_Table_Cleaned].[Country].[All]" allUniqueName="[Country_Table_Cleaned].[Country].[All]" dimensionUniqueName="[Country_Table_Cleaned]" displayFolder="" count="0" memberValueDatatype="130" unbalanced="0"/>
    <cacheHierarchy uniqueName="[Language_Table_Cleaned].[Title]" caption="Title" attribute="1" defaultMemberUniqueName="[Language_Table_Cleaned].[Title].[All]" allUniqueName="[Language_Table_Cleaned].[Title].[All]" dimensionUniqueName="[Language_Table_Cleaned]" displayFolder="" count="0" memberValueDatatype="130" unbalanced="0"/>
    <cacheHierarchy uniqueName="[Language_Table_Cleaned].[Language]" caption="Language" attribute="1" defaultMemberUniqueName="[Language_Table_Cleaned].[Language].[All]" allUniqueName="[Language_Table_Cleaned].[Language].[All]" dimensionUniqueName="[Language_Table_Cleaned]" displayFolder="" count="0" memberValueDatatype="130" unbalanced="0"/>
    <cacheHierarchy uniqueName="[Writer_Table_Cleaned].[imdb_id]" caption="imdb_id" attribute="1" defaultMemberUniqueName="[Writer_Table_Cleaned].[imdb_id].[All]" allUniqueName="[Writer_Table_Cleaned].[imdb_id].[All]" dimensionUniqueName="[Writer_Table_Cleaned]" displayFolder="" count="2" memberValueDatatype="130" unbalanced="0">
      <fieldsUsage count="2">
        <fieldUsage x="-1"/>
        <fieldUsage x="0"/>
      </fieldsUsage>
    </cacheHierarchy>
    <cacheHierarchy uniqueName="[Writer_Table_Cleaned].[Writers]" caption="Writers" attribute="1" defaultMemberUniqueName="[Writer_Table_Cleaned].[Writers].[All]" allUniqueName="[Writer_Table_Cleaned].[Writers].[All]" dimensionUniqueName="[Writer_Table_Cleaned]" displayFolder="" count="0" memberValueDatatype="130" unbalanced="0"/>
    <cacheHierarchy uniqueName="[Measures].[__XL_Count Actors_Table_Cleaned]" caption="__XL_Count Actors_Table_Cleaned" measure="1" displayFolder="" measureGroup="Actors_Table_Cleaned" count="0" hidden="1"/>
    <cacheHierarchy uniqueName="[Measures].[__XL_Count Writer_Table_Cleaned]" caption="__XL_Count Writer_Table_Cleaned" measure="1" displayFolder="" measureGroup="Writer_Table_Cleaned" count="0" hidden="1"/>
    <cacheHierarchy uniqueName="[Measures].[__XL_Count Language_Table_Cleaned]" caption="__XL_Count Language_Table_Cleaned" measure="1" displayFolder="" measureGroup="Language_Table_Cleaned" count="0" hidden="1"/>
    <cacheHierarchy uniqueName="[Measures].[__XL_Count Country_Table_Cleaned]" caption="__XL_Count Country_Table_Cleaned" measure="1" displayFolder="" measureGroup="Country_Table_Cleaned" count="0" hidden="1"/>
    <cacheHierarchy uniqueName="[Measures].[__No measures defined]" caption="__No measures defined" measure="1" displayFolder="" count="0" hidden="1"/>
    <cacheHierarchy uniqueName="[Measures].[Count of imdb_id]" caption="Count of imdb_id" measure="1" displayFolder="" measureGroup="Actors_Table_Cleaned" count="0" hidden="1">
      <extLst>
        <ext xmlns:x15="http://schemas.microsoft.com/office/spreadsheetml/2010/11/main" uri="{B97F6D7D-B522-45F9-BDA1-12C45D357490}">
          <x15:cacheHierarchy aggregatedColumn="0"/>
        </ext>
      </extLst>
    </cacheHierarchy>
    <cacheHierarchy uniqueName="[Measures].[Count of Actors]" caption="Count of Actors" measure="1" displayFolder="" measureGroup="Actors_Table_Cleaned" count="0" hidden="1">
      <extLst>
        <ext xmlns:x15="http://schemas.microsoft.com/office/spreadsheetml/2010/11/main" uri="{B97F6D7D-B522-45F9-BDA1-12C45D357490}">
          <x15:cacheHierarchy aggregatedColumn="1"/>
        </ext>
      </extLst>
    </cacheHierarchy>
    <cacheHierarchy uniqueName="[Measures].[Count of Writers]" caption="Count of Writers" measure="1" displayFolder="" measureGroup="Writer_Table_Cleaned"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Language_Table_Cleaned"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Country_Table_Cleaned" count="0" hidden="1">
      <extLst>
        <ext xmlns:x15="http://schemas.microsoft.com/office/spreadsheetml/2010/11/main" uri="{B97F6D7D-B522-45F9-BDA1-12C45D357490}">
          <x15:cacheHierarchy aggregatedColumn="3"/>
        </ext>
      </extLst>
    </cacheHierarchy>
  </cacheHierarchies>
  <kpis count="0"/>
  <dimensions count="5">
    <dimension name="Actors_Table_Cleaned" uniqueName="[Actors_Table_Cleaned]" caption="Actors_Table_Cleaned"/>
    <dimension name="Country_Table_Cleaned" uniqueName="[Country_Table_Cleaned]" caption="Country_Table_Cleaned"/>
    <dimension name="Language_Table_Cleaned" uniqueName="[Language_Table_Cleaned]" caption="Language_Table_Cleaned"/>
    <dimension measure="1" name="Measures" uniqueName="[Measures]" caption="Measures"/>
    <dimension name="Writer_Table_Cleaned" uniqueName="[Writer_Table_Cleaned]" caption="Writer_Table_Cleaned"/>
  </dimensions>
  <measureGroups count="4">
    <measureGroup name="Actors_Table_Cleaned" caption="Actors_Table_Cleaned"/>
    <measureGroup name="Country_Table_Cleaned" caption="Country_Table_Cleaned"/>
    <measureGroup name="Language_Table_Cleaned" caption="Language_Table_Cleaned"/>
    <measureGroup name="Writer_Table_Cleaned" caption="Writer_Table_Cleaned"/>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630703587965" backgroundQuery="1" createdVersion="8" refreshedVersion="8" minRefreshableVersion="3" recordCount="0" supportSubquery="1" supportAdvancedDrill="1" xr:uid="{1F40D4F4-4316-4074-AEC6-AE8617A1CC78}">
  <cacheSource type="external" connectionId="9"/>
  <cacheFields count="2">
    <cacheField name="[Measures].[Count of Actors]" caption="Count of Actors" numFmtId="0" hierarchy="14" level="32767"/>
    <cacheField name="[Actors_Table_Cleaned].[imdb_id].[imdb_id]" caption="imdb_id" numFmtId="0" level="1">
      <sharedItems count="20">
        <s v="tt0038674"/>
        <s v="tt0043274"/>
        <s v="tt0046672"/>
        <s v="tt0103639"/>
        <s v="tt0107952"/>
        <s v="tt0113198"/>
        <s v="tt0113538"/>
        <s v="tt0115433"/>
        <s v="tt0115491"/>
        <s v="tt0120623"/>
        <s v="tt0147800"/>
        <s v="tt0211181"/>
        <s v="tt0282123"/>
        <s v="tt0287003"/>
        <s v="tt0324941"/>
        <s v="tt12076020"/>
        <s v="tt1620680"/>
        <s v="tt1846442"/>
        <s v="tt6139732"/>
        <s v="tt7019028"/>
      </sharedItems>
    </cacheField>
  </cacheFields>
  <cacheHierarchies count="18">
    <cacheHierarchy uniqueName="[Actors_Table_Cleaned].[imdb_id]" caption="imdb_id" attribute="1" defaultMemberUniqueName="[Actors_Table_Cleaned].[imdb_id].[All]" allUniqueName="[Actors_Table_Cleaned].[imdb_id].[All]" dimensionUniqueName="[Actors_Table_Cleaned]" displayFolder="" count="2" memberValueDatatype="130" unbalanced="0">
      <fieldsUsage count="2">
        <fieldUsage x="-1"/>
        <fieldUsage x="1"/>
      </fieldsUsage>
    </cacheHierarchy>
    <cacheHierarchy uniqueName="[Actors_Table_Cleaned].[Actors]" caption="Actors" attribute="1" defaultMemberUniqueName="[Actors_Table_Cleaned].[Actors].[All]" allUniqueName="[Actors_Table_Cleaned].[Actors].[All]" dimensionUniqueName="[Actors_Table_Cleaned]" displayFolder="" count="0" memberValueDatatype="130" unbalanced="0"/>
    <cacheHierarchy uniqueName="[Country_Table_Cleaned].[Title]" caption="Title" attribute="1" defaultMemberUniqueName="[Country_Table_Cleaned].[Title].[All]" allUniqueName="[Country_Table_Cleaned].[Title].[All]" dimensionUniqueName="[Country_Table_Cleaned]" displayFolder="" count="0" memberValueDatatype="130" unbalanced="0"/>
    <cacheHierarchy uniqueName="[Country_Table_Cleaned].[Country]" caption="Country" attribute="1" defaultMemberUniqueName="[Country_Table_Cleaned].[Country].[All]" allUniqueName="[Country_Table_Cleaned].[Country].[All]" dimensionUniqueName="[Country_Table_Cleaned]" displayFolder="" count="0" memberValueDatatype="130" unbalanced="0"/>
    <cacheHierarchy uniqueName="[Language_Table_Cleaned].[Title]" caption="Title" attribute="1" defaultMemberUniqueName="[Language_Table_Cleaned].[Title].[All]" allUniqueName="[Language_Table_Cleaned].[Title].[All]" dimensionUniqueName="[Language_Table_Cleaned]" displayFolder="" count="0" memberValueDatatype="130" unbalanced="0"/>
    <cacheHierarchy uniqueName="[Language_Table_Cleaned].[Language]" caption="Language" attribute="1" defaultMemberUniqueName="[Language_Table_Cleaned].[Language].[All]" allUniqueName="[Language_Table_Cleaned].[Language].[All]" dimensionUniqueName="[Language_Table_Cleaned]" displayFolder="" count="0" memberValueDatatype="130" unbalanced="0"/>
    <cacheHierarchy uniqueName="[Writer_Table_Cleaned].[imdb_id]" caption="imdb_id" attribute="1" defaultMemberUniqueName="[Writer_Table_Cleaned].[imdb_id].[All]" allUniqueName="[Writer_Table_Cleaned].[imdb_id].[All]" dimensionUniqueName="[Writer_Table_Cleaned]" displayFolder="" count="0" memberValueDatatype="130" unbalanced="0"/>
    <cacheHierarchy uniqueName="[Writer_Table_Cleaned].[Writers]" caption="Writers" attribute="1" defaultMemberUniqueName="[Writer_Table_Cleaned].[Writers].[All]" allUniqueName="[Writer_Table_Cleaned].[Writers].[All]" dimensionUniqueName="[Writer_Table_Cleaned]" displayFolder="" count="0" memberValueDatatype="130" unbalanced="0"/>
    <cacheHierarchy uniqueName="[Measures].[__XL_Count Actors_Table_Cleaned]" caption="__XL_Count Actors_Table_Cleaned" measure="1" displayFolder="" measureGroup="Actors_Table_Cleaned" count="0" hidden="1"/>
    <cacheHierarchy uniqueName="[Measures].[__XL_Count Writer_Table_Cleaned]" caption="__XL_Count Writer_Table_Cleaned" measure="1" displayFolder="" measureGroup="Writer_Table_Cleaned" count="0" hidden="1"/>
    <cacheHierarchy uniqueName="[Measures].[__XL_Count Language_Table_Cleaned]" caption="__XL_Count Language_Table_Cleaned" measure="1" displayFolder="" measureGroup="Language_Table_Cleaned" count="0" hidden="1"/>
    <cacheHierarchy uniqueName="[Measures].[__XL_Count Country_Table_Cleaned]" caption="__XL_Count Country_Table_Cleaned" measure="1" displayFolder="" measureGroup="Country_Table_Cleaned" count="0" hidden="1"/>
    <cacheHierarchy uniqueName="[Measures].[__No measures defined]" caption="__No measures defined" measure="1" displayFolder="" count="0" hidden="1"/>
    <cacheHierarchy uniqueName="[Measures].[Count of imdb_id]" caption="Count of imdb_id" measure="1" displayFolder="" measureGroup="Actors_Table_Cleaned" count="0" hidden="1">
      <extLst>
        <ext xmlns:x15="http://schemas.microsoft.com/office/spreadsheetml/2010/11/main" uri="{B97F6D7D-B522-45F9-BDA1-12C45D357490}">
          <x15:cacheHierarchy aggregatedColumn="0"/>
        </ext>
      </extLst>
    </cacheHierarchy>
    <cacheHierarchy uniqueName="[Measures].[Count of Actors]" caption="Count of Actors" measure="1" displayFolder="" measureGroup="Actors_Table_Cleaned"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Writers]" caption="Count of Writers" measure="1" displayFolder="" measureGroup="Writer_Table_Cleaned"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Language_Table_Cleaned"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Country_Table_Cleaned" count="0" hidden="1">
      <extLst>
        <ext xmlns:x15="http://schemas.microsoft.com/office/spreadsheetml/2010/11/main" uri="{B97F6D7D-B522-45F9-BDA1-12C45D357490}">
          <x15:cacheHierarchy aggregatedColumn="3"/>
        </ext>
      </extLst>
    </cacheHierarchy>
  </cacheHierarchies>
  <kpis count="0"/>
  <dimensions count="5">
    <dimension name="Actors_Table_Cleaned" uniqueName="[Actors_Table_Cleaned]" caption="Actors_Table_Cleaned"/>
    <dimension name="Country_Table_Cleaned" uniqueName="[Country_Table_Cleaned]" caption="Country_Table_Cleaned"/>
    <dimension name="Language_Table_Cleaned" uniqueName="[Language_Table_Cleaned]" caption="Language_Table_Cleaned"/>
    <dimension measure="1" name="Measures" uniqueName="[Measures]" caption="Measures"/>
    <dimension name="Writer_Table_Cleaned" uniqueName="[Writer_Table_Cleaned]" caption="Writer_Table_Cleaned"/>
  </dimensions>
  <measureGroups count="4">
    <measureGroup name="Actors_Table_Cleaned" caption="Actors_Table_Cleaned"/>
    <measureGroup name="Country_Table_Cleaned" caption="Country_Table_Cleaned"/>
    <measureGroup name="Language_Table_Cleaned" caption="Language_Table_Cleaned"/>
    <measureGroup name="Writer_Table_Cleaned" caption="Writer_Table_Cleaned"/>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647118402776" backgroundQuery="1" createdVersion="8" refreshedVersion="8" minRefreshableVersion="3" recordCount="0" supportSubquery="1" supportAdvancedDrill="1" xr:uid="{A268BBCD-7E01-4E01-B82E-CA999C0CF998}">
  <cacheSource type="external" connectionId="9"/>
  <cacheFields count="2">
    <cacheField name="[Language_Table_Cleaned].[Title].[Title]" caption="Title" numFmtId="0" hierarchy="4" level="1">
      <sharedItems count="19">
        <s v="10 Things I Hate About You"/>
        <s v="101 Dalmatian Street"/>
        <s v="101 Dalmatians"/>
        <s v="101 Dalmatians 2: Patch's London Adventure"/>
        <s v="102 Dalmatians"/>
        <s v="12 Dates of Christmas"/>
        <s v="20,000 Leagues Under the Sea"/>
        <s v="A Bug's Life"/>
        <s v="A Celebration of the Music from Coco"/>
        <s v="A Goofy Movie"/>
        <s v="A Kid in King Arthur's Court"/>
        <s v="A Knight for a Day"/>
        <s v="A Ring of Endless Light"/>
        <s v="A Tale of Two Critters"/>
        <s v="A Wrinkle in Time"/>
        <s v="Aladdin"/>
        <s v="Aladdin and the King of Thieves"/>
        <s v="Aladdin and the Return of Jafar"/>
        <s v="Alice in Wonderland"/>
      </sharedItems>
    </cacheField>
    <cacheField name="[Measures].[Count of Language]" caption="Count of Language" numFmtId="0" hierarchy="16" level="32767"/>
  </cacheFields>
  <cacheHierarchies count="18">
    <cacheHierarchy uniqueName="[Actors_Table_Cleaned].[imdb_id]" caption="imdb_id" attribute="1" defaultMemberUniqueName="[Actors_Table_Cleaned].[imdb_id].[All]" allUniqueName="[Actors_Table_Cleaned].[imdb_id].[All]" dimensionUniqueName="[Actors_Table_Cleaned]" displayFolder="" count="0" memberValueDatatype="130" unbalanced="0"/>
    <cacheHierarchy uniqueName="[Actors_Table_Cleaned].[Actors]" caption="Actors" attribute="1" defaultMemberUniqueName="[Actors_Table_Cleaned].[Actors].[All]" allUniqueName="[Actors_Table_Cleaned].[Actors].[All]" dimensionUniqueName="[Actors_Table_Cleaned]" displayFolder="" count="0" memberValueDatatype="130" unbalanced="0"/>
    <cacheHierarchy uniqueName="[Country_Table_Cleaned].[Title]" caption="Title" attribute="1" defaultMemberUniqueName="[Country_Table_Cleaned].[Title].[All]" allUniqueName="[Country_Table_Cleaned].[Title].[All]" dimensionUniqueName="[Country_Table_Cleaned]" displayFolder="" count="0" memberValueDatatype="130" unbalanced="0"/>
    <cacheHierarchy uniqueName="[Country_Table_Cleaned].[Country]" caption="Country" attribute="1" defaultMemberUniqueName="[Country_Table_Cleaned].[Country].[All]" allUniqueName="[Country_Table_Cleaned].[Country].[All]" dimensionUniqueName="[Country_Table_Cleaned]" displayFolder="" count="0" memberValueDatatype="130" unbalanced="0"/>
    <cacheHierarchy uniqueName="[Language_Table_Cleaned].[Title]" caption="Title" attribute="1" defaultMemberUniqueName="[Language_Table_Cleaned].[Title].[All]" allUniqueName="[Language_Table_Cleaned].[Title].[All]" dimensionUniqueName="[Language_Table_Cleaned]" displayFolder="" count="2" memberValueDatatype="130" unbalanced="0">
      <fieldsUsage count="2">
        <fieldUsage x="-1"/>
        <fieldUsage x="0"/>
      </fieldsUsage>
    </cacheHierarchy>
    <cacheHierarchy uniqueName="[Language_Table_Cleaned].[Language]" caption="Language" attribute="1" defaultMemberUniqueName="[Language_Table_Cleaned].[Language].[All]" allUniqueName="[Language_Table_Cleaned].[Language].[All]" dimensionUniqueName="[Language_Table_Cleaned]" displayFolder="" count="0" memberValueDatatype="130" unbalanced="0"/>
    <cacheHierarchy uniqueName="[Writer_Table_Cleaned].[imdb_id]" caption="imdb_id" attribute="1" defaultMemberUniqueName="[Writer_Table_Cleaned].[imdb_id].[All]" allUniqueName="[Writer_Table_Cleaned].[imdb_id].[All]" dimensionUniqueName="[Writer_Table_Cleaned]" displayFolder="" count="0" memberValueDatatype="130" unbalanced="0"/>
    <cacheHierarchy uniqueName="[Writer_Table_Cleaned].[Writers]" caption="Writers" attribute="1" defaultMemberUniqueName="[Writer_Table_Cleaned].[Writers].[All]" allUniqueName="[Writer_Table_Cleaned].[Writers].[All]" dimensionUniqueName="[Writer_Table_Cleaned]" displayFolder="" count="0" memberValueDatatype="130" unbalanced="0"/>
    <cacheHierarchy uniqueName="[Measures].[__XL_Count Actors_Table_Cleaned]" caption="__XL_Count Actors_Table_Cleaned" measure="1" displayFolder="" measureGroup="Actors_Table_Cleaned" count="0" hidden="1"/>
    <cacheHierarchy uniqueName="[Measures].[__XL_Count Writer_Table_Cleaned]" caption="__XL_Count Writer_Table_Cleaned" measure="1" displayFolder="" measureGroup="Writer_Table_Cleaned" count="0" hidden="1"/>
    <cacheHierarchy uniqueName="[Measures].[__XL_Count Language_Table_Cleaned]" caption="__XL_Count Language_Table_Cleaned" measure="1" displayFolder="" measureGroup="Language_Table_Cleaned" count="0" hidden="1"/>
    <cacheHierarchy uniqueName="[Measures].[__XL_Count Country_Table_Cleaned]" caption="__XL_Count Country_Table_Cleaned" measure="1" displayFolder="" measureGroup="Country_Table_Cleaned" count="0" hidden="1"/>
    <cacheHierarchy uniqueName="[Measures].[__No measures defined]" caption="__No measures defined" measure="1" displayFolder="" count="0" hidden="1"/>
    <cacheHierarchy uniqueName="[Measures].[Count of imdb_id]" caption="Count of imdb_id" measure="1" displayFolder="" measureGroup="Actors_Table_Cleaned" count="0" hidden="1">
      <extLst>
        <ext xmlns:x15="http://schemas.microsoft.com/office/spreadsheetml/2010/11/main" uri="{B97F6D7D-B522-45F9-BDA1-12C45D357490}">
          <x15:cacheHierarchy aggregatedColumn="0"/>
        </ext>
      </extLst>
    </cacheHierarchy>
    <cacheHierarchy uniqueName="[Measures].[Count of Actors]" caption="Count of Actors" measure="1" displayFolder="" measureGroup="Actors_Table_Cleaned" count="0" hidden="1">
      <extLst>
        <ext xmlns:x15="http://schemas.microsoft.com/office/spreadsheetml/2010/11/main" uri="{B97F6D7D-B522-45F9-BDA1-12C45D357490}">
          <x15:cacheHierarchy aggregatedColumn="1"/>
        </ext>
      </extLst>
    </cacheHierarchy>
    <cacheHierarchy uniqueName="[Measures].[Count of Writers]" caption="Count of Writers" measure="1" displayFolder="" measureGroup="Writer_Table_Cleaned"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Language_Table_Cleaned"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Country_Table_Cleaned" count="0" hidden="1">
      <extLst>
        <ext xmlns:x15="http://schemas.microsoft.com/office/spreadsheetml/2010/11/main" uri="{B97F6D7D-B522-45F9-BDA1-12C45D357490}">
          <x15:cacheHierarchy aggregatedColumn="3"/>
        </ext>
      </extLst>
    </cacheHierarchy>
  </cacheHierarchies>
  <kpis count="0"/>
  <dimensions count="5">
    <dimension name="Actors_Table_Cleaned" uniqueName="[Actors_Table_Cleaned]" caption="Actors_Table_Cleaned"/>
    <dimension name="Country_Table_Cleaned" uniqueName="[Country_Table_Cleaned]" caption="Country_Table_Cleaned"/>
    <dimension name="Language_Table_Cleaned" uniqueName="[Language_Table_Cleaned]" caption="Language_Table_Cleaned"/>
    <dimension measure="1" name="Measures" uniqueName="[Measures]" caption="Measures"/>
    <dimension name="Writer_Table_Cleaned" uniqueName="[Writer_Table_Cleaned]" caption="Writer_Table_Cleaned"/>
  </dimensions>
  <measureGroups count="4">
    <measureGroup name="Actors_Table_Cleaned" caption="Actors_Table_Cleaned"/>
    <measureGroup name="Country_Table_Cleaned" caption="Country_Table_Cleaned"/>
    <measureGroup name="Language_Table_Cleaned" caption="Language_Table_Cleaned"/>
    <measureGroup name="Writer_Table_Cleaned" caption="Writer_Table_Cleaned"/>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9.653481250003" backgroundQuery="1" createdVersion="8" refreshedVersion="8" minRefreshableVersion="3" recordCount="0" supportSubquery="1" supportAdvancedDrill="1" xr:uid="{90233F2D-DAFC-477F-A3DA-5A32A8B0E644}">
  <cacheSource type="external" connectionId="9"/>
  <cacheFields count="2">
    <cacheField name="[Country_Table_Cleaned].[Title].[Title]" caption="Title" numFmtId="0" hierarchy="2" level="1">
      <sharedItems count="19">
        <s v="10 Things I Hate About You"/>
        <s v="101 Dalmatian Street"/>
        <s v="101 Dalmatians"/>
        <s v="101 Dalmatians 2: Patch's London Adventure"/>
        <s v="102 Dalmatians"/>
        <s v="12 Dates of Christmas"/>
        <s v="20,000 Leagues Under the Sea"/>
        <s v="A Bug's Life"/>
        <s v="A Celebration of the Music from Coco"/>
        <s v="A Goofy Movie"/>
        <s v="A Kid in King Arthur's Court"/>
        <s v="A Knight for a Day"/>
        <s v="A Ring of Endless Light"/>
        <s v="A Tale of Two Critters"/>
        <s v="A Wrinkle in Time"/>
        <s v="Aladdin"/>
        <s v="Aladdin and the King of Thieves"/>
        <s v="Aladdin and the Return of Jafar"/>
        <s v="Alice in Wonderland"/>
      </sharedItems>
    </cacheField>
    <cacheField name="[Measures].[Count of Country]" caption="Count of Country" numFmtId="0" hierarchy="17" level="32767"/>
  </cacheFields>
  <cacheHierarchies count="18">
    <cacheHierarchy uniqueName="[Actors_Table_Cleaned].[imdb_id]" caption="imdb_id" attribute="1" defaultMemberUniqueName="[Actors_Table_Cleaned].[imdb_id].[All]" allUniqueName="[Actors_Table_Cleaned].[imdb_id].[All]" dimensionUniqueName="[Actors_Table_Cleaned]" displayFolder="" count="0" memberValueDatatype="130" unbalanced="0"/>
    <cacheHierarchy uniqueName="[Actors_Table_Cleaned].[Actors]" caption="Actors" attribute="1" defaultMemberUniqueName="[Actors_Table_Cleaned].[Actors].[All]" allUniqueName="[Actors_Table_Cleaned].[Actors].[All]" dimensionUniqueName="[Actors_Table_Cleaned]" displayFolder="" count="0" memberValueDatatype="130" unbalanced="0"/>
    <cacheHierarchy uniqueName="[Country_Table_Cleaned].[Title]" caption="Title" attribute="1" defaultMemberUniqueName="[Country_Table_Cleaned].[Title].[All]" allUniqueName="[Country_Table_Cleaned].[Title].[All]" dimensionUniqueName="[Country_Table_Cleaned]" displayFolder="" count="2" memberValueDatatype="130" unbalanced="0">
      <fieldsUsage count="2">
        <fieldUsage x="-1"/>
        <fieldUsage x="0"/>
      </fieldsUsage>
    </cacheHierarchy>
    <cacheHierarchy uniqueName="[Country_Table_Cleaned].[Country]" caption="Country" attribute="1" defaultMemberUniqueName="[Country_Table_Cleaned].[Country].[All]" allUniqueName="[Country_Table_Cleaned].[Country].[All]" dimensionUniqueName="[Country_Table_Cleaned]" displayFolder="" count="0" memberValueDatatype="130" unbalanced="0"/>
    <cacheHierarchy uniqueName="[Language_Table_Cleaned].[Title]" caption="Title" attribute="1" defaultMemberUniqueName="[Language_Table_Cleaned].[Title].[All]" allUniqueName="[Language_Table_Cleaned].[Title].[All]" dimensionUniqueName="[Language_Table_Cleaned]" displayFolder="" count="0" memberValueDatatype="130" unbalanced="0"/>
    <cacheHierarchy uniqueName="[Language_Table_Cleaned].[Language]" caption="Language" attribute="1" defaultMemberUniqueName="[Language_Table_Cleaned].[Language].[All]" allUniqueName="[Language_Table_Cleaned].[Language].[All]" dimensionUniqueName="[Language_Table_Cleaned]" displayFolder="" count="0" memberValueDatatype="130" unbalanced="0"/>
    <cacheHierarchy uniqueName="[Writer_Table_Cleaned].[imdb_id]" caption="imdb_id" attribute="1" defaultMemberUniqueName="[Writer_Table_Cleaned].[imdb_id].[All]" allUniqueName="[Writer_Table_Cleaned].[imdb_id].[All]" dimensionUniqueName="[Writer_Table_Cleaned]" displayFolder="" count="0" memberValueDatatype="130" unbalanced="0"/>
    <cacheHierarchy uniqueName="[Writer_Table_Cleaned].[Writers]" caption="Writers" attribute="1" defaultMemberUniqueName="[Writer_Table_Cleaned].[Writers].[All]" allUniqueName="[Writer_Table_Cleaned].[Writers].[All]" dimensionUniqueName="[Writer_Table_Cleaned]" displayFolder="" count="0" memberValueDatatype="130" unbalanced="0"/>
    <cacheHierarchy uniqueName="[Measures].[__XL_Count Actors_Table_Cleaned]" caption="__XL_Count Actors_Table_Cleaned" measure="1" displayFolder="" measureGroup="Actors_Table_Cleaned" count="0" hidden="1"/>
    <cacheHierarchy uniqueName="[Measures].[__XL_Count Writer_Table_Cleaned]" caption="__XL_Count Writer_Table_Cleaned" measure="1" displayFolder="" measureGroup="Writer_Table_Cleaned" count="0" hidden="1"/>
    <cacheHierarchy uniqueName="[Measures].[__XL_Count Language_Table_Cleaned]" caption="__XL_Count Language_Table_Cleaned" measure="1" displayFolder="" measureGroup="Language_Table_Cleaned" count="0" hidden="1"/>
    <cacheHierarchy uniqueName="[Measures].[__XL_Count Country_Table_Cleaned]" caption="__XL_Count Country_Table_Cleaned" measure="1" displayFolder="" measureGroup="Country_Table_Cleaned" count="0" hidden="1"/>
    <cacheHierarchy uniqueName="[Measures].[__No measures defined]" caption="__No measures defined" measure="1" displayFolder="" count="0" hidden="1"/>
    <cacheHierarchy uniqueName="[Measures].[Count of imdb_id]" caption="Count of imdb_id" measure="1" displayFolder="" measureGroup="Actors_Table_Cleaned" count="0" hidden="1">
      <extLst>
        <ext xmlns:x15="http://schemas.microsoft.com/office/spreadsheetml/2010/11/main" uri="{B97F6D7D-B522-45F9-BDA1-12C45D357490}">
          <x15:cacheHierarchy aggregatedColumn="0"/>
        </ext>
      </extLst>
    </cacheHierarchy>
    <cacheHierarchy uniqueName="[Measures].[Count of Actors]" caption="Count of Actors" measure="1" displayFolder="" measureGroup="Actors_Table_Cleaned" count="0" hidden="1">
      <extLst>
        <ext xmlns:x15="http://schemas.microsoft.com/office/spreadsheetml/2010/11/main" uri="{B97F6D7D-B522-45F9-BDA1-12C45D357490}">
          <x15:cacheHierarchy aggregatedColumn="1"/>
        </ext>
      </extLst>
    </cacheHierarchy>
    <cacheHierarchy uniqueName="[Measures].[Count of Writers]" caption="Count of Writers" measure="1" displayFolder="" measureGroup="Writer_Table_Cleaned"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Language_Table_Cleaned" count="0" hidden="1">
      <extLst>
        <ext xmlns:x15="http://schemas.microsoft.com/office/spreadsheetml/2010/11/main" uri="{B97F6D7D-B522-45F9-BDA1-12C45D357490}">
          <x15:cacheHierarchy aggregatedColumn="5"/>
        </ext>
      </extLst>
    </cacheHierarchy>
    <cacheHierarchy uniqueName="[Measures].[Count of Country]" caption="Count of Country" measure="1" displayFolder="" measureGroup="Country_Table_Cleaned"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5">
    <dimension name="Actors_Table_Cleaned" uniqueName="[Actors_Table_Cleaned]" caption="Actors_Table_Cleaned"/>
    <dimension name="Country_Table_Cleaned" uniqueName="[Country_Table_Cleaned]" caption="Country_Table_Cleaned"/>
    <dimension name="Language_Table_Cleaned" uniqueName="[Language_Table_Cleaned]" caption="Language_Table_Cleaned"/>
    <dimension measure="1" name="Measures" uniqueName="[Measures]" caption="Measures"/>
    <dimension name="Writer_Table_Cleaned" uniqueName="[Writer_Table_Cleaned]" caption="Writer_Table_Cleaned"/>
  </dimensions>
  <measureGroups count="4">
    <measureGroup name="Actors_Table_Cleaned" caption="Actors_Table_Cleaned"/>
    <measureGroup name="Country_Table_Cleaned" caption="Country_Table_Cleaned"/>
    <measureGroup name="Language_Table_Cleaned" caption="Language_Table_Cleaned"/>
    <measureGroup name="Writer_Table_Cleaned" caption="Writer_Table_Cleaned"/>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9708B-828B-43DB-8961-3379647C1BA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mdb_id">
  <location ref="D2:E23"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Writers"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ney_plus_shows.xlsx!Writer_Table_Cleaned">
        <x15:activeTabTopLevelEntity name="[Writer_Tabl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D6964-DE01-45A1-8709-A985A6C8128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mdb_id">
  <location ref="E3:F24"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ctors"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ney_plus_shows.xlsx!Actors_Table_Cleaned">
        <x15:activeTabTopLevelEntity name="[Actors_Tabl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D5A6E-FE11-44DE-B372-9CA4CD1218F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tle">
  <location ref="D1:E21"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Language"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ney_plus_shows.xlsx!Language_Table_Cleaned">
        <x15:activeTabTopLevelEntity name="[Language_Tabl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63B99D-807C-471A-AD4B-BD9468F8911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tle">
  <location ref="D1:E21"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Country"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ney_plus_shows.xlsx!Country_Table_Cleaned">
        <x15:activeTabTopLevelEntity name="[Country_Table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D413A45-B066-4BAE-AE0C-2FCBC3DADC79}" autoFormatId="16" applyNumberFormats="0" applyBorderFormats="0" applyFontFormats="0" applyPatternFormats="0" applyAlignmentFormats="0" applyWidthHeightFormats="0">
  <queryTableRefresh nextId="20">
    <queryTableFields count="19">
      <queryTableField id="1" name="imdb_id" tableColumnId="1"/>
      <queryTableField id="2" name="Title" tableColumnId="2"/>
      <queryTableField id="3" name="Plot" tableColumnId="3"/>
      <queryTableField id="4" name="Type" tableColumnId="4"/>
      <queryTableField id="5" name="Rated" tableColumnId="5"/>
      <queryTableField id="6" name="Year" tableColumnId="6"/>
      <queryTableField id="7" name="Released_at" tableColumnId="7"/>
      <queryTableField id="8" name="Added_at" tableColumnId="8"/>
      <queryTableField id="9" name="Runtime" tableColumnId="9"/>
      <queryTableField id="10" name="Genre" tableColumnId="10"/>
      <queryTableField id="11" name="Director" tableColumnId="11"/>
      <queryTableField id="12" name="Writer" tableColumnId="12"/>
      <queryTableField id="13" name="Actors" tableColumnId="13"/>
      <queryTableField id="14" name="Language" tableColumnId="14"/>
      <queryTableField id="15" name="Country" tableColumnId="15"/>
      <queryTableField id="16" name="Awards" tableColumnId="16"/>
      <queryTableField id="17" name="Metascore" tableColumnId="17"/>
      <queryTableField id="18" name="imdb_rating" tableColumnId="18"/>
      <queryTableField id="19" name="imdb_votes"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C190CE93-B99C-4664-8F09-E766D416D787}" autoFormatId="16" applyNumberFormats="0" applyBorderFormats="0" applyFontFormats="0" applyPatternFormats="0" applyAlignmentFormats="0" applyWidthHeightFormats="0">
  <queryTableRefresh nextId="3">
    <queryTableFields count="2">
      <queryTableField id="1" name="imdb_id" tableColumnId="1"/>
      <queryTableField id="2" name="Writer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80ABF847-A9B2-4E9A-8A90-B214515BD7E3}" autoFormatId="16" applyNumberFormats="0" applyBorderFormats="0" applyFontFormats="0" applyPatternFormats="0" applyAlignmentFormats="0" applyWidthHeightFormats="0">
  <queryTableRefresh nextId="4">
    <queryTableFields count="3">
      <queryTableField id="1" name="imdb_id" tableColumnId="1"/>
      <queryTableField id="3" dataBound="0" tableColumnId="3"/>
      <queryTableField id="2" name="Typ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9F24CF2-2AF4-49D2-8C82-8CFD15419D50}" autoFormatId="16" applyNumberFormats="0" applyBorderFormats="0" applyFontFormats="0" applyPatternFormats="0" applyAlignmentFormats="0" applyWidthHeightFormats="0">
  <queryTableRefresh nextId="3">
    <queryTableFields count="2">
      <queryTableField id="1" name="imdb_id" tableColumnId="1"/>
      <queryTableField id="2" name="Actor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3569E380-7E1B-4718-8752-63B69C61C0A8}" autoFormatId="16" applyNumberFormats="0" applyBorderFormats="0" applyFontFormats="0" applyPatternFormats="0" applyAlignmentFormats="0" applyWidthHeightFormats="0">
  <queryTableRefresh nextId="3">
    <queryTableFields count="2">
      <queryTableField id="1" name="imdb_id" tableColumnId="1"/>
      <queryTableField id="2" name="Genr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5A4243E4-B7D4-46B9-9975-EFF468B314BF}" autoFormatId="16" applyNumberFormats="0" applyBorderFormats="0" applyFontFormats="0" applyPatternFormats="0" applyAlignmentFormats="0" applyWidthHeightFormats="0">
  <queryTableRefresh nextId="3">
    <queryTableFields count="2">
      <queryTableField id="1" name="Title" tableColumnId="1"/>
      <queryTableField id="2" name="Languag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9E4F4FE7-8FDD-4700-A6BB-E4862C5708CE}" autoFormatId="16" applyNumberFormats="0" applyBorderFormats="0" applyFontFormats="0" applyPatternFormats="0" applyAlignmentFormats="0" applyWidthHeightFormats="0">
  <queryTableRefresh nextId="3">
    <queryTableFields count="2">
      <queryTableField id="1" name="Title" tableColumnId="1"/>
      <queryTableField id="2" name="Country"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25AF87-BB32-4507-9A7C-C07FD9FC3DC4}" name="disney_plus_shows" displayName="disney_plus_shows" ref="A1:S21" tableType="queryTable" totalsRowShown="0">
  <tableColumns count="19">
    <tableColumn id="1" xr3:uid="{4A8A9DCF-9678-48A5-88CE-F698C30FCEEA}" uniqueName="1" name="imdb_id" queryTableFieldId="1" dataDxfId="27"/>
    <tableColumn id="2" xr3:uid="{DE020444-4CAF-4F27-9225-9456BFE4FCA4}" uniqueName="2" name="Title" queryTableFieldId="2" dataDxfId="26"/>
    <tableColumn id="3" xr3:uid="{02CE9F4C-142C-48C2-9DF2-5C2F7607FE32}" uniqueName="3" name="Plot" queryTableFieldId="3" dataDxfId="25"/>
    <tableColumn id="4" xr3:uid="{9928EB91-4CB7-4B7D-8C30-D90D9C928E2C}" uniqueName="4" name="Type" queryTableFieldId="4" dataDxfId="24"/>
    <tableColumn id="5" xr3:uid="{22A75E02-4AAB-4B0E-8F96-7405ACD0FFA8}" uniqueName="5" name="Rated" queryTableFieldId="5" dataDxfId="23"/>
    <tableColumn id="6" xr3:uid="{EC9E3317-C887-4FC1-892A-30D306CBDA37}" uniqueName="6" name="Year" queryTableFieldId="6"/>
    <tableColumn id="7" xr3:uid="{E15B20D2-4E2A-4948-AA3E-CBBB2E6EE4C3}" uniqueName="7" name="Released_at" queryTableFieldId="7" dataDxfId="22"/>
    <tableColumn id="8" xr3:uid="{C31EF357-E9DB-489E-A50A-19A3B58A50B7}" uniqueName="8" name="Added_at" queryTableFieldId="8" dataDxfId="21"/>
    <tableColumn id="9" xr3:uid="{CF10F7CA-4500-44CE-8127-9472853C4464}" uniqueName="9" name="Runtime" queryTableFieldId="9" dataDxfId="20"/>
    <tableColumn id="10" xr3:uid="{541DC41B-6ED4-4970-A6DF-2A020F691E8E}" uniqueName="10" name="Genre" queryTableFieldId="10" dataDxfId="19"/>
    <tableColumn id="11" xr3:uid="{3C89B9C8-FCB5-41F2-9413-9E640C269B34}" uniqueName="11" name="Director" queryTableFieldId="11" dataDxfId="18"/>
    <tableColumn id="12" xr3:uid="{4F632849-2585-49FC-886F-02D03BA53FA0}" uniqueName="12" name="Writer" queryTableFieldId="12" dataDxfId="17"/>
    <tableColumn id="13" xr3:uid="{67478E98-8AEC-401E-A680-F12BAEED860B}" uniqueName="13" name="Actors" queryTableFieldId="13" dataDxfId="16"/>
    <tableColumn id="14" xr3:uid="{0B53A5B7-1BB4-433B-B9D0-D0841B4DD24D}" uniqueName="14" name="Language" queryTableFieldId="14" dataDxfId="15"/>
    <tableColumn id="15" xr3:uid="{360C8F90-00C3-4C3A-B798-C1FF9B11B2AE}" uniqueName="15" name="Country" queryTableFieldId="15" dataDxfId="14"/>
    <tableColumn id="16" xr3:uid="{7BAAC5F8-BE8E-4267-A0AB-F80F160A8D0D}" uniqueName="16" name="Awards" queryTableFieldId="16" dataDxfId="13"/>
    <tableColumn id="17" xr3:uid="{A473E1C3-4E77-4526-82D5-F17CD9936F61}" uniqueName="17" name="Metascore" queryTableFieldId="17"/>
    <tableColumn id="18" xr3:uid="{6A03BB09-984E-4050-8CDC-54A7801065B8}" uniqueName="18" name="imdb_rating" queryTableFieldId="18"/>
    <tableColumn id="19" xr3:uid="{30E89335-D713-4556-85D5-064D13C4A854}" uniqueName="19" name="imdb_votes"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0BE561-D746-4DF7-87E3-6F51EBDB72D1}" name="Writer_Table_Cleaned" displayName="Writer_Table_Cleaned" ref="A1:B102" tableType="queryTable" totalsRowShown="0">
  <tableColumns count="2">
    <tableColumn id="1" xr3:uid="{2477FCD7-92E3-4E7B-A49E-7498D694E4A1}" uniqueName="1" name="imdb_id" queryTableFieldId="1" dataDxfId="12"/>
    <tableColumn id="2" xr3:uid="{D79FDF42-90B9-4FAA-8A30-2FC22CC9E7D7}" uniqueName="2" name="Writers" queryTableFieldId="2"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A98576-CBD6-4D0C-9030-29B1BDFDDFFF}" name="Type_Table_Cleaned" displayName="Type_Table_Cleaned" ref="A1:C21" tableType="queryTable" totalsRowShown="0">
  <tableColumns count="3">
    <tableColumn id="1" xr3:uid="{E63ADF35-37C3-4C2C-886C-15F3CB9D864B}" uniqueName="1" name="imdb_id" queryTableFieldId="1" dataDxfId="10"/>
    <tableColumn id="3" xr3:uid="{C70A5F49-AEAC-4388-B7B8-ECB2D1FB6CEA}" uniqueName="3" name="Title" queryTableFieldId="3" dataDxfId="0">
      <calculatedColumnFormula>INDEX(disney_plus_shows[Title],MATCH(disney_plus_shows[[#This Row],[imdb_id]],disney_plus_shows[imdb_id],0))</calculatedColumnFormula>
    </tableColumn>
    <tableColumn id="2" xr3:uid="{FA02C303-F765-467A-9973-D72867FD4C9A}" uniqueName="2" name="Type" queryTableFieldId="2"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ABDB8C-0DF5-405D-8EF5-EED18A2ED55F}" name="Actors_Table_Cleaned" displayName="Actors_Table_Cleaned" ref="A1:B73" tableType="queryTable" totalsRowShown="0">
  <tableColumns count="2">
    <tableColumn id="1" xr3:uid="{2786AB2E-D3E0-497D-84BE-1FF00118312D}" uniqueName="1" name="imdb_id" queryTableFieldId="1" dataDxfId="8"/>
    <tableColumn id="2" xr3:uid="{7EA0C8E4-547D-46BF-AD33-47EB380878A5}" uniqueName="2" name="Actors" queryTableFieldId="2"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59E4B2-5C66-475D-9700-3E20B11D4B0B}" name="Genre_Table_Cleaned" displayName="Genre_Table_Cleaned" ref="A1:B86" tableType="queryTable" totalsRowShown="0">
  <tableColumns count="2">
    <tableColumn id="1" xr3:uid="{8B153A72-CF77-491C-9BF4-BABA72F7A4CE}" uniqueName="1" name="imdb_id" queryTableFieldId="1" dataDxfId="6"/>
    <tableColumn id="2" xr3:uid="{08152978-6A7A-41FF-9F2C-9FA694839107}" uniqueName="2" name="Genre" queryTableFieldId="2" dataDxf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A7F137-35CA-418D-9913-940D83272E2C}" name="Language_Table_Cleaned" displayName="Language_Table_Cleaned" ref="A1:B25" tableType="queryTable" totalsRowShown="0">
  <tableColumns count="2">
    <tableColumn id="1" xr3:uid="{8B0F3282-0D5B-4792-8D5D-1607861FCE59}" uniqueName="1" name="Title" queryTableFieldId="1" dataDxfId="4"/>
    <tableColumn id="2" xr3:uid="{88144D6F-73E2-4082-8E40-6BAF11659CBA}" uniqueName="2" name="Language" queryTableFieldId="2" dataDxf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DAC833-F1D1-4540-ACB1-8F8BE4216C37}" name="Country_Table_Cleaned" displayName="Country_Table_Cleaned" ref="A1:B30" tableType="queryTable" totalsRowShown="0">
  <tableColumns count="2">
    <tableColumn id="1" xr3:uid="{1FB991CE-D25A-4045-9731-D1073960909E}" uniqueName="1" name="Title" queryTableFieldId="1" dataDxfId="2"/>
    <tableColumn id="2" xr3:uid="{691D7FD1-8F47-42DC-A76E-169AD6674725}" uniqueName="2" name="Country"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4447-A3BF-4790-9A8E-BFA99143F3B7}">
  <dimension ref="A1:S21"/>
  <sheetViews>
    <sheetView tabSelected="1" workbookViewId="0">
      <selection activeCell="C16" sqref="C16"/>
    </sheetView>
  </sheetViews>
  <sheetFormatPr defaultRowHeight="14.5" x14ac:dyDescent="0.35"/>
  <cols>
    <col min="1" max="1" width="10.08984375" bestFit="1" customWidth="1"/>
    <col min="2" max="2" width="41.453125" customWidth="1"/>
    <col min="3" max="3" width="80.7265625" bestFit="1" customWidth="1"/>
    <col min="4" max="4" width="7" bestFit="1" customWidth="1"/>
    <col min="5" max="5" width="16.453125" bestFit="1" customWidth="1"/>
    <col min="6" max="6" width="6.81640625" bestFit="1" customWidth="1"/>
    <col min="7" max="7" width="13.26953125" bestFit="1" customWidth="1"/>
    <col min="8" max="8" width="10.90625" bestFit="1" customWidth="1"/>
    <col min="9" max="9" width="10.26953125" bestFit="1" customWidth="1"/>
    <col min="10" max="10" width="55.81640625" bestFit="1" customWidth="1"/>
    <col min="11" max="11" width="40.54296875" bestFit="1" customWidth="1"/>
    <col min="12" max="12" width="80.7265625" bestFit="1" customWidth="1"/>
    <col min="13" max="13" width="54.7265625" bestFit="1" customWidth="1"/>
    <col min="14" max="14" width="13.90625" bestFit="1" customWidth="1"/>
    <col min="15" max="15" width="26.36328125" bestFit="1" customWidth="1"/>
    <col min="16" max="16" width="52.1796875" bestFit="1" customWidth="1"/>
    <col min="17" max="17" width="11.7265625" bestFit="1" customWidth="1"/>
    <col min="18" max="18" width="13.08984375" bestFit="1" customWidth="1"/>
    <col min="19" max="19" width="12.7265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t="s">
        <v>23</v>
      </c>
      <c r="F2">
        <v>1999</v>
      </c>
      <c r="G2" s="1">
        <v>36250</v>
      </c>
      <c r="H2" s="1">
        <v>43781</v>
      </c>
      <c r="I2" t="s">
        <v>24</v>
      </c>
      <c r="J2" t="s">
        <v>25</v>
      </c>
      <c r="K2" t="s">
        <v>26</v>
      </c>
      <c r="L2" t="s">
        <v>27</v>
      </c>
      <c r="M2" t="s">
        <v>28</v>
      </c>
      <c r="N2" t="s">
        <v>29</v>
      </c>
      <c r="O2" t="s">
        <v>30</v>
      </c>
      <c r="P2" t="s">
        <v>31</v>
      </c>
      <c r="Q2">
        <v>70</v>
      </c>
      <c r="R2">
        <v>7.3</v>
      </c>
      <c r="S2">
        <v>283945</v>
      </c>
    </row>
    <row r="3" spans="1:19" x14ac:dyDescent="0.35">
      <c r="A3" t="s">
        <v>32</v>
      </c>
      <c r="B3" t="s">
        <v>33</v>
      </c>
      <c r="C3" t="s">
        <v>34</v>
      </c>
      <c r="D3" t="s">
        <v>35</v>
      </c>
      <c r="E3" t="s">
        <v>36</v>
      </c>
      <c r="F3">
        <v>2018</v>
      </c>
      <c r="G3" s="1">
        <v>43549</v>
      </c>
      <c r="H3" s="1">
        <v>43889</v>
      </c>
      <c r="I3" t="s">
        <v>37</v>
      </c>
      <c r="J3" t="s">
        <v>38</v>
      </c>
      <c r="K3" t="s">
        <v>39</v>
      </c>
      <c r="L3" t="s">
        <v>40</v>
      </c>
      <c r="M3" t="s">
        <v>41</v>
      </c>
      <c r="N3" t="s">
        <v>42</v>
      </c>
      <c r="O3" t="s">
        <v>43</v>
      </c>
      <c r="P3" t="s">
        <v>44</v>
      </c>
      <c r="Q3">
        <v>0</v>
      </c>
      <c r="R3">
        <v>6.2</v>
      </c>
      <c r="S3">
        <v>124</v>
      </c>
    </row>
    <row r="4" spans="1:19" x14ac:dyDescent="0.35">
      <c r="A4" t="s">
        <v>45</v>
      </c>
      <c r="B4" t="s">
        <v>46</v>
      </c>
      <c r="C4" t="s">
        <v>47</v>
      </c>
      <c r="D4" t="s">
        <v>22</v>
      </c>
      <c r="E4" t="s">
        <v>48</v>
      </c>
      <c r="F4">
        <v>1996</v>
      </c>
      <c r="G4" s="1">
        <v>35396</v>
      </c>
      <c r="H4" s="1">
        <v>43781</v>
      </c>
      <c r="I4" t="s">
        <v>49</v>
      </c>
      <c r="J4" t="s">
        <v>50</v>
      </c>
      <c r="K4" t="s">
        <v>51</v>
      </c>
      <c r="L4" t="s">
        <v>52</v>
      </c>
      <c r="M4" t="s">
        <v>53</v>
      </c>
      <c r="N4" t="s">
        <v>54</v>
      </c>
      <c r="O4" t="s">
        <v>55</v>
      </c>
      <c r="P4" t="s">
        <v>56</v>
      </c>
      <c r="Q4">
        <v>49</v>
      </c>
      <c r="R4">
        <v>5.7</v>
      </c>
      <c r="S4">
        <v>97785</v>
      </c>
    </row>
    <row r="5" spans="1:19" x14ac:dyDescent="0.35">
      <c r="A5" t="s">
        <v>57</v>
      </c>
      <c r="B5" t="s">
        <v>58</v>
      </c>
      <c r="C5" t="s">
        <v>59</v>
      </c>
      <c r="D5" t="s">
        <v>22</v>
      </c>
      <c r="E5" t="s">
        <v>48</v>
      </c>
      <c r="F5">
        <v>2002</v>
      </c>
      <c r="G5" s="1">
        <v>37642</v>
      </c>
      <c r="H5" s="1">
        <v>43781</v>
      </c>
      <c r="I5" t="s">
        <v>60</v>
      </c>
      <c r="J5" t="s">
        <v>61</v>
      </c>
      <c r="K5" t="s">
        <v>62</v>
      </c>
      <c r="L5" t="s">
        <v>63</v>
      </c>
      <c r="M5" t="s">
        <v>64</v>
      </c>
      <c r="N5" t="s">
        <v>42</v>
      </c>
      <c r="O5" t="s">
        <v>30</v>
      </c>
      <c r="P5" t="s">
        <v>65</v>
      </c>
      <c r="Q5">
        <v>0</v>
      </c>
      <c r="R5">
        <v>5.8</v>
      </c>
      <c r="S5">
        <v>7434</v>
      </c>
    </row>
    <row r="6" spans="1:19" x14ac:dyDescent="0.35">
      <c r="A6" t="s">
        <v>66</v>
      </c>
      <c r="B6" t="s">
        <v>67</v>
      </c>
      <c r="C6" t="s">
        <v>68</v>
      </c>
      <c r="D6" t="s">
        <v>22</v>
      </c>
      <c r="E6" t="s">
        <v>48</v>
      </c>
      <c r="F6">
        <v>2000</v>
      </c>
      <c r="G6" s="1">
        <v>36852</v>
      </c>
      <c r="H6" s="1">
        <v>43781</v>
      </c>
      <c r="I6" t="s">
        <v>69</v>
      </c>
      <c r="J6" t="s">
        <v>70</v>
      </c>
      <c r="K6" t="s">
        <v>71</v>
      </c>
      <c r="L6" t="s">
        <v>72</v>
      </c>
      <c r="M6" t="s">
        <v>73</v>
      </c>
      <c r="N6" t="s">
        <v>42</v>
      </c>
      <c r="O6" t="s">
        <v>55</v>
      </c>
      <c r="P6" t="s">
        <v>74</v>
      </c>
      <c r="Q6">
        <v>35</v>
      </c>
      <c r="R6">
        <v>4.9000000000000004</v>
      </c>
      <c r="S6">
        <v>33444</v>
      </c>
    </row>
    <row r="7" spans="1:19" x14ac:dyDescent="0.35">
      <c r="A7" t="s">
        <v>75</v>
      </c>
      <c r="B7" t="s">
        <v>76</v>
      </c>
      <c r="C7" t="s">
        <v>77</v>
      </c>
      <c r="D7" t="s">
        <v>35</v>
      </c>
      <c r="E7" t="s">
        <v>78</v>
      </c>
      <c r="F7">
        <v>2011</v>
      </c>
      <c r="G7" s="1">
        <v>40888</v>
      </c>
      <c r="H7" s="1">
        <v>43781</v>
      </c>
      <c r="I7" t="s">
        <v>79</v>
      </c>
      <c r="J7" t="s">
        <v>80</v>
      </c>
      <c r="K7" t="s">
        <v>81</v>
      </c>
      <c r="L7" t="s">
        <v>82</v>
      </c>
      <c r="M7" t="s">
        <v>83</v>
      </c>
      <c r="N7" t="s">
        <v>42</v>
      </c>
      <c r="O7" t="s">
        <v>30</v>
      </c>
      <c r="P7" t="s">
        <v>84</v>
      </c>
      <c r="Q7">
        <v>0</v>
      </c>
      <c r="R7">
        <v>6.3</v>
      </c>
      <c r="S7">
        <v>4933</v>
      </c>
    </row>
    <row r="8" spans="1:19" x14ac:dyDescent="0.35">
      <c r="A8" t="s">
        <v>85</v>
      </c>
      <c r="B8" t="s">
        <v>86</v>
      </c>
      <c r="C8" t="s">
        <v>87</v>
      </c>
      <c r="D8" t="s">
        <v>22</v>
      </c>
      <c r="E8" t="s">
        <v>48</v>
      </c>
      <c r="F8">
        <v>1954</v>
      </c>
      <c r="G8" s="1">
        <v>20290</v>
      </c>
      <c r="H8" s="1">
        <v>43781</v>
      </c>
      <c r="I8" t="s">
        <v>88</v>
      </c>
      <c r="J8" t="s">
        <v>89</v>
      </c>
      <c r="K8" t="s">
        <v>90</v>
      </c>
      <c r="L8" t="s">
        <v>91</v>
      </c>
      <c r="M8" t="s">
        <v>92</v>
      </c>
      <c r="N8" t="s">
        <v>42</v>
      </c>
      <c r="O8" t="s">
        <v>30</v>
      </c>
      <c r="P8" t="s">
        <v>93</v>
      </c>
      <c r="Q8">
        <v>83</v>
      </c>
      <c r="R8">
        <v>7.2</v>
      </c>
      <c r="S8">
        <v>27761</v>
      </c>
    </row>
    <row r="9" spans="1:19" x14ac:dyDescent="0.35">
      <c r="A9" t="s">
        <v>94</v>
      </c>
      <c r="B9" t="s">
        <v>95</v>
      </c>
      <c r="C9" t="s">
        <v>96</v>
      </c>
      <c r="D9" t="s">
        <v>22</v>
      </c>
      <c r="E9" t="s">
        <v>48</v>
      </c>
      <c r="F9">
        <v>1998</v>
      </c>
      <c r="G9" s="1">
        <v>36124</v>
      </c>
      <c r="H9" s="1">
        <v>43781</v>
      </c>
      <c r="I9" t="s">
        <v>97</v>
      </c>
      <c r="J9" t="s">
        <v>98</v>
      </c>
      <c r="K9" t="s">
        <v>99</v>
      </c>
      <c r="L9" t="s">
        <v>100</v>
      </c>
      <c r="M9" t="s">
        <v>101</v>
      </c>
      <c r="N9" t="s">
        <v>42</v>
      </c>
      <c r="O9" t="s">
        <v>30</v>
      </c>
      <c r="P9" t="s">
        <v>102</v>
      </c>
      <c r="Q9">
        <v>77</v>
      </c>
      <c r="R9">
        <v>7.2</v>
      </c>
      <c r="S9">
        <v>257065</v>
      </c>
    </row>
    <row r="10" spans="1:19" x14ac:dyDescent="0.35">
      <c r="A10" t="s">
        <v>103</v>
      </c>
      <c r="B10" t="s">
        <v>104</v>
      </c>
      <c r="C10" t="s">
        <v>105</v>
      </c>
      <c r="D10" t="s">
        <v>35</v>
      </c>
      <c r="E10" t="s">
        <v>36</v>
      </c>
      <c r="F10">
        <v>2020</v>
      </c>
      <c r="G10" s="1">
        <v>43931</v>
      </c>
      <c r="H10" s="1">
        <v>43931</v>
      </c>
      <c r="I10" t="s">
        <v>37</v>
      </c>
      <c r="J10" t="s">
        <v>106</v>
      </c>
      <c r="K10" t="s">
        <v>107</v>
      </c>
      <c r="L10" t="s">
        <v>40</v>
      </c>
      <c r="M10" t="s">
        <v>108</v>
      </c>
      <c r="N10" t="s">
        <v>42</v>
      </c>
      <c r="O10" t="s">
        <v>30</v>
      </c>
      <c r="P10" t="s">
        <v>44</v>
      </c>
      <c r="Q10">
        <v>0</v>
      </c>
      <c r="R10">
        <v>7.6</v>
      </c>
      <c r="S10">
        <v>35</v>
      </c>
    </row>
    <row r="11" spans="1:19" x14ac:dyDescent="0.35">
      <c r="A11" t="s">
        <v>109</v>
      </c>
      <c r="B11" t="s">
        <v>110</v>
      </c>
      <c r="C11" t="s">
        <v>111</v>
      </c>
      <c r="D11" t="s">
        <v>22</v>
      </c>
      <c r="E11" t="s">
        <v>48</v>
      </c>
      <c r="F11">
        <v>1995</v>
      </c>
      <c r="G11" s="1">
        <v>34796</v>
      </c>
      <c r="H11" s="1">
        <v>43781</v>
      </c>
      <c r="I11" t="s">
        <v>112</v>
      </c>
      <c r="J11" t="s">
        <v>113</v>
      </c>
      <c r="K11" t="s">
        <v>71</v>
      </c>
      <c r="L11" t="s">
        <v>114</v>
      </c>
      <c r="M11" t="s">
        <v>115</v>
      </c>
      <c r="N11" t="s">
        <v>42</v>
      </c>
      <c r="O11" t="s">
        <v>116</v>
      </c>
      <c r="P11" t="s">
        <v>117</v>
      </c>
      <c r="Q11">
        <v>0</v>
      </c>
      <c r="R11">
        <v>6.8</v>
      </c>
      <c r="S11">
        <v>43655</v>
      </c>
    </row>
    <row r="12" spans="1:19" x14ac:dyDescent="0.35">
      <c r="A12" t="s">
        <v>118</v>
      </c>
      <c r="B12" t="s">
        <v>119</v>
      </c>
      <c r="C12" t="s">
        <v>120</v>
      </c>
      <c r="D12" t="s">
        <v>22</v>
      </c>
      <c r="E12" t="s">
        <v>78</v>
      </c>
      <c r="F12">
        <v>1995</v>
      </c>
      <c r="G12" s="1">
        <v>34922</v>
      </c>
      <c r="H12" s="1">
        <v>43781</v>
      </c>
      <c r="I12" t="s">
        <v>121</v>
      </c>
      <c r="J12" t="s">
        <v>122</v>
      </c>
      <c r="K12" t="s">
        <v>123</v>
      </c>
      <c r="L12" t="s">
        <v>124</v>
      </c>
      <c r="M12" t="s">
        <v>125</v>
      </c>
      <c r="N12" t="s">
        <v>42</v>
      </c>
      <c r="O12" t="s">
        <v>126</v>
      </c>
      <c r="P12" t="s">
        <v>84</v>
      </c>
      <c r="Q12">
        <v>34</v>
      </c>
      <c r="R12">
        <v>4.7</v>
      </c>
      <c r="S12">
        <v>5479</v>
      </c>
    </row>
    <row r="13" spans="1:19" x14ac:dyDescent="0.35">
      <c r="A13" t="s">
        <v>127</v>
      </c>
      <c r="B13" t="s">
        <v>128</v>
      </c>
      <c r="C13" t="s">
        <v>129</v>
      </c>
      <c r="D13" t="s">
        <v>35</v>
      </c>
      <c r="E13" t="s">
        <v>130</v>
      </c>
      <c r="F13">
        <v>1946</v>
      </c>
      <c r="G13" s="1">
        <v>53394</v>
      </c>
      <c r="H13" s="1">
        <v>43781</v>
      </c>
      <c r="I13" t="s">
        <v>131</v>
      </c>
      <c r="J13" t="s">
        <v>132</v>
      </c>
      <c r="K13" t="s">
        <v>133</v>
      </c>
      <c r="L13" t="s">
        <v>134</v>
      </c>
      <c r="M13" t="s">
        <v>135</v>
      </c>
      <c r="N13" t="s">
        <v>42</v>
      </c>
      <c r="O13" t="s">
        <v>30</v>
      </c>
      <c r="P13" t="s">
        <v>44</v>
      </c>
      <c r="Q13">
        <v>0</v>
      </c>
      <c r="R13">
        <v>7</v>
      </c>
      <c r="S13">
        <v>488</v>
      </c>
    </row>
    <row r="14" spans="1:19" x14ac:dyDescent="0.35">
      <c r="A14" t="s">
        <v>136</v>
      </c>
      <c r="B14" t="s">
        <v>137</v>
      </c>
      <c r="C14" t="s">
        <v>138</v>
      </c>
      <c r="D14" t="s">
        <v>22</v>
      </c>
      <c r="E14" t="s">
        <v>139</v>
      </c>
      <c r="F14">
        <v>2002</v>
      </c>
      <c r="G14" s="1">
        <v>37491</v>
      </c>
      <c r="H14" s="1">
        <v>43781</v>
      </c>
      <c r="I14" t="s">
        <v>140</v>
      </c>
      <c r="J14" t="s">
        <v>141</v>
      </c>
      <c r="K14" t="s">
        <v>142</v>
      </c>
      <c r="L14" t="s">
        <v>143</v>
      </c>
      <c r="M14" t="s">
        <v>144</v>
      </c>
      <c r="N14" t="s">
        <v>42</v>
      </c>
      <c r="O14" t="s">
        <v>30</v>
      </c>
      <c r="P14" t="s">
        <v>145</v>
      </c>
      <c r="Q14">
        <v>0</v>
      </c>
      <c r="R14">
        <v>6.1</v>
      </c>
      <c r="S14">
        <v>1042</v>
      </c>
    </row>
    <row r="15" spans="1:19" x14ac:dyDescent="0.35">
      <c r="A15" t="s">
        <v>146</v>
      </c>
      <c r="B15" t="s">
        <v>147</v>
      </c>
      <c r="C15" t="s">
        <v>148</v>
      </c>
      <c r="D15" t="s">
        <v>22</v>
      </c>
      <c r="E15" t="s">
        <v>48</v>
      </c>
      <c r="F15">
        <v>1977</v>
      </c>
      <c r="G15" s="1">
        <v>28298</v>
      </c>
      <c r="H15" s="1">
        <v>43924</v>
      </c>
      <c r="I15" t="s">
        <v>149</v>
      </c>
      <c r="J15" t="s">
        <v>150</v>
      </c>
      <c r="K15" t="s">
        <v>151</v>
      </c>
      <c r="L15" t="s">
        <v>151</v>
      </c>
      <c r="M15" t="s">
        <v>152</v>
      </c>
      <c r="N15" t="s">
        <v>42</v>
      </c>
      <c r="O15" t="s">
        <v>30</v>
      </c>
      <c r="P15" t="s">
        <v>44</v>
      </c>
      <c r="Q15">
        <v>0</v>
      </c>
      <c r="R15">
        <v>7.1</v>
      </c>
      <c r="S15">
        <v>59</v>
      </c>
    </row>
    <row r="16" spans="1:19" x14ac:dyDescent="0.35">
      <c r="A16" t="s">
        <v>153</v>
      </c>
      <c r="B16" t="s">
        <v>154</v>
      </c>
      <c r="C16" t="s">
        <v>155</v>
      </c>
      <c r="D16" t="s">
        <v>35</v>
      </c>
      <c r="E16" t="s">
        <v>78</v>
      </c>
      <c r="F16">
        <v>2018</v>
      </c>
      <c r="G16" s="1">
        <v>43168</v>
      </c>
      <c r="H16" s="1">
        <v>43915</v>
      </c>
      <c r="I16" t="s">
        <v>156</v>
      </c>
      <c r="J16" t="s">
        <v>157</v>
      </c>
      <c r="K16" t="s">
        <v>158</v>
      </c>
      <c r="L16" t="s">
        <v>159</v>
      </c>
      <c r="M16" t="s">
        <v>160</v>
      </c>
      <c r="N16" t="s">
        <v>42</v>
      </c>
      <c r="O16" t="s">
        <v>30</v>
      </c>
      <c r="P16" t="s">
        <v>161</v>
      </c>
      <c r="Q16">
        <v>53</v>
      </c>
      <c r="R16">
        <v>4.2</v>
      </c>
      <c r="S16">
        <v>38659</v>
      </c>
    </row>
    <row r="17" spans="1:19" x14ac:dyDescent="0.35">
      <c r="A17" t="s">
        <v>162</v>
      </c>
      <c r="B17" t="s">
        <v>163</v>
      </c>
      <c r="C17" t="s">
        <v>164</v>
      </c>
      <c r="D17" t="s">
        <v>22</v>
      </c>
      <c r="E17" t="s">
        <v>78</v>
      </c>
      <c r="F17">
        <v>2019</v>
      </c>
      <c r="G17" s="1">
        <v>43609</v>
      </c>
      <c r="H17" s="1">
        <v>43838</v>
      </c>
      <c r="I17" t="s">
        <v>165</v>
      </c>
      <c r="J17" t="s">
        <v>166</v>
      </c>
      <c r="K17" t="s">
        <v>167</v>
      </c>
      <c r="L17" t="s">
        <v>168</v>
      </c>
      <c r="M17" t="s">
        <v>169</v>
      </c>
      <c r="N17" t="s">
        <v>170</v>
      </c>
      <c r="O17" t="s">
        <v>30</v>
      </c>
      <c r="P17" t="s">
        <v>171</v>
      </c>
      <c r="Q17">
        <v>53</v>
      </c>
      <c r="R17">
        <v>7</v>
      </c>
      <c r="S17">
        <v>204537</v>
      </c>
    </row>
    <row r="18" spans="1:19" x14ac:dyDescent="0.35">
      <c r="A18" t="s">
        <v>172</v>
      </c>
      <c r="B18" t="s">
        <v>163</v>
      </c>
      <c r="C18" t="s">
        <v>173</v>
      </c>
      <c r="D18" t="s">
        <v>22</v>
      </c>
      <c r="E18" t="s">
        <v>48</v>
      </c>
      <c r="F18">
        <v>1992</v>
      </c>
      <c r="G18" s="1">
        <v>33933</v>
      </c>
      <c r="H18" s="1">
        <v>43781</v>
      </c>
      <c r="I18" t="s">
        <v>79</v>
      </c>
      <c r="J18" t="s">
        <v>174</v>
      </c>
      <c r="K18" t="s">
        <v>175</v>
      </c>
      <c r="L18" t="s">
        <v>176</v>
      </c>
      <c r="M18" t="s">
        <v>177</v>
      </c>
      <c r="N18" t="s">
        <v>42</v>
      </c>
      <c r="O18" t="s">
        <v>30</v>
      </c>
      <c r="P18" t="s">
        <v>178</v>
      </c>
      <c r="Q18">
        <v>86</v>
      </c>
      <c r="R18">
        <v>8</v>
      </c>
      <c r="S18">
        <v>356283</v>
      </c>
    </row>
    <row r="19" spans="1:19" x14ac:dyDescent="0.35">
      <c r="A19" t="s">
        <v>179</v>
      </c>
      <c r="B19" t="s">
        <v>180</v>
      </c>
      <c r="C19" t="s">
        <v>181</v>
      </c>
      <c r="D19" t="s">
        <v>35</v>
      </c>
      <c r="E19" t="s">
        <v>182</v>
      </c>
      <c r="F19">
        <v>1996</v>
      </c>
      <c r="G19" s="1">
        <v>35290</v>
      </c>
      <c r="H19" s="1">
        <v>43781</v>
      </c>
      <c r="I19" t="s">
        <v>183</v>
      </c>
      <c r="J19" t="s">
        <v>174</v>
      </c>
      <c r="K19" t="s">
        <v>184</v>
      </c>
      <c r="L19" t="s">
        <v>185</v>
      </c>
      <c r="M19" t="s">
        <v>186</v>
      </c>
      <c r="N19" t="s">
        <v>42</v>
      </c>
      <c r="O19" t="s">
        <v>30</v>
      </c>
      <c r="P19" t="s">
        <v>145</v>
      </c>
      <c r="Q19">
        <v>0</v>
      </c>
      <c r="R19">
        <v>6.4</v>
      </c>
      <c r="S19">
        <v>31603</v>
      </c>
    </row>
    <row r="20" spans="1:19" x14ac:dyDescent="0.35">
      <c r="A20" t="s">
        <v>187</v>
      </c>
      <c r="B20" t="s">
        <v>188</v>
      </c>
      <c r="C20" t="s">
        <v>189</v>
      </c>
      <c r="D20" t="s">
        <v>22</v>
      </c>
      <c r="E20" t="s">
        <v>48</v>
      </c>
      <c r="F20">
        <v>1994</v>
      </c>
      <c r="G20" s="1">
        <v>34474</v>
      </c>
      <c r="H20" s="1">
        <v>43781</v>
      </c>
      <c r="I20" t="s">
        <v>190</v>
      </c>
      <c r="J20" t="s">
        <v>174</v>
      </c>
      <c r="K20" t="s">
        <v>191</v>
      </c>
      <c r="L20" t="s">
        <v>192</v>
      </c>
      <c r="M20" t="s">
        <v>193</v>
      </c>
      <c r="N20" t="s">
        <v>42</v>
      </c>
      <c r="O20" t="s">
        <v>30</v>
      </c>
      <c r="P20" t="s">
        <v>84</v>
      </c>
      <c r="Q20">
        <v>0</v>
      </c>
      <c r="R20">
        <v>5.9</v>
      </c>
      <c r="S20">
        <v>25623</v>
      </c>
    </row>
    <row r="21" spans="1:19" x14ac:dyDescent="0.35">
      <c r="A21" t="s">
        <v>194</v>
      </c>
      <c r="B21" t="s">
        <v>195</v>
      </c>
      <c r="C21" t="s">
        <v>196</v>
      </c>
      <c r="D21" t="s">
        <v>35</v>
      </c>
      <c r="E21" t="s">
        <v>48</v>
      </c>
      <c r="F21">
        <v>1951</v>
      </c>
      <c r="G21" s="1">
        <v>18885</v>
      </c>
      <c r="H21" s="1">
        <v>43781</v>
      </c>
      <c r="I21" t="s">
        <v>197</v>
      </c>
      <c r="J21" t="s">
        <v>198</v>
      </c>
      <c r="K21" t="s">
        <v>199</v>
      </c>
      <c r="L21" t="s">
        <v>200</v>
      </c>
      <c r="M21" t="s">
        <v>201</v>
      </c>
      <c r="N21" t="s">
        <v>42</v>
      </c>
      <c r="O21" t="s">
        <v>30</v>
      </c>
      <c r="P21" t="s">
        <v>202</v>
      </c>
      <c r="Q21">
        <v>68</v>
      </c>
      <c r="R21">
        <v>7.4</v>
      </c>
      <c r="S21">
        <v>123377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DFD6-CF31-4E95-91F1-212AF6E55753}">
  <dimension ref="A1:E102"/>
  <sheetViews>
    <sheetView workbookViewId="0">
      <selection activeCell="J12" sqref="J12"/>
    </sheetView>
  </sheetViews>
  <sheetFormatPr defaultRowHeight="14.5" x14ac:dyDescent="0.35"/>
  <cols>
    <col min="1" max="1" width="10.08984375" bestFit="1" customWidth="1"/>
    <col min="2" max="2" width="37.81640625" bestFit="1" customWidth="1"/>
    <col min="4" max="4" width="12.453125" bestFit="1" customWidth="1"/>
    <col min="5" max="5" width="14.36328125" bestFit="1" customWidth="1"/>
  </cols>
  <sheetData>
    <row r="1" spans="1:5" x14ac:dyDescent="0.35">
      <c r="A1" t="s">
        <v>0</v>
      </c>
      <c r="B1" t="s">
        <v>280</v>
      </c>
    </row>
    <row r="2" spans="1:5" x14ac:dyDescent="0.35">
      <c r="A2" t="s">
        <v>19</v>
      </c>
      <c r="B2" t="s">
        <v>281</v>
      </c>
      <c r="D2" s="2" t="s">
        <v>0</v>
      </c>
      <c r="E2" t="s">
        <v>374</v>
      </c>
    </row>
    <row r="3" spans="1:5" x14ac:dyDescent="0.35">
      <c r="A3" t="s">
        <v>19</v>
      </c>
      <c r="B3" t="s">
        <v>282</v>
      </c>
      <c r="D3" s="3" t="s">
        <v>127</v>
      </c>
      <c r="E3">
        <v>1</v>
      </c>
    </row>
    <row r="4" spans="1:5" x14ac:dyDescent="0.35">
      <c r="A4" t="s">
        <v>32</v>
      </c>
      <c r="B4" t="s">
        <v>40</v>
      </c>
      <c r="D4" s="3" t="s">
        <v>194</v>
      </c>
      <c r="E4">
        <v>14</v>
      </c>
    </row>
    <row r="5" spans="1:5" x14ac:dyDescent="0.35">
      <c r="A5" t="s">
        <v>45</v>
      </c>
      <c r="B5" t="s">
        <v>283</v>
      </c>
      <c r="D5" s="3" t="s">
        <v>85</v>
      </c>
      <c r="E5">
        <v>1</v>
      </c>
    </row>
    <row r="6" spans="1:5" x14ac:dyDescent="0.35">
      <c r="A6" t="s">
        <v>45</v>
      </c>
      <c r="B6" t="s">
        <v>284</v>
      </c>
      <c r="D6" s="3" t="s">
        <v>172</v>
      </c>
      <c r="E6">
        <v>20</v>
      </c>
    </row>
    <row r="7" spans="1:5" x14ac:dyDescent="0.35">
      <c r="A7" t="s">
        <v>57</v>
      </c>
      <c r="B7" t="s">
        <v>285</v>
      </c>
      <c r="D7" s="3" t="s">
        <v>187</v>
      </c>
      <c r="E7">
        <v>13</v>
      </c>
    </row>
    <row r="8" spans="1:5" x14ac:dyDescent="0.35">
      <c r="A8" t="s">
        <v>57</v>
      </c>
      <c r="B8" t="s">
        <v>286</v>
      </c>
      <c r="D8" s="3" t="s">
        <v>109</v>
      </c>
      <c r="E8">
        <v>7</v>
      </c>
    </row>
    <row r="9" spans="1:5" x14ac:dyDescent="0.35">
      <c r="A9" t="s">
        <v>57</v>
      </c>
      <c r="B9" t="s">
        <v>287</v>
      </c>
      <c r="D9" s="3" t="s">
        <v>118</v>
      </c>
      <c r="E9">
        <v>2</v>
      </c>
    </row>
    <row r="10" spans="1:5" x14ac:dyDescent="0.35">
      <c r="A10" t="s">
        <v>57</v>
      </c>
      <c r="B10" t="s">
        <v>288</v>
      </c>
      <c r="D10" s="3" t="s">
        <v>45</v>
      </c>
      <c r="E10">
        <v>2</v>
      </c>
    </row>
    <row r="11" spans="1:5" x14ac:dyDescent="0.35">
      <c r="A11" t="s">
        <v>57</v>
      </c>
      <c r="B11" t="s">
        <v>289</v>
      </c>
      <c r="D11" s="3" t="s">
        <v>179</v>
      </c>
      <c r="E11">
        <v>2</v>
      </c>
    </row>
    <row r="12" spans="1:5" x14ac:dyDescent="0.35">
      <c r="A12" t="s">
        <v>57</v>
      </c>
      <c r="B12" t="s">
        <v>290</v>
      </c>
      <c r="D12" s="3" t="s">
        <v>94</v>
      </c>
      <c r="E12">
        <v>6</v>
      </c>
    </row>
    <row r="13" spans="1:5" x14ac:dyDescent="0.35">
      <c r="A13" t="s">
        <v>57</v>
      </c>
      <c r="B13" t="s">
        <v>283</v>
      </c>
      <c r="D13" s="3" t="s">
        <v>19</v>
      </c>
      <c r="E13">
        <v>2</v>
      </c>
    </row>
    <row r="14" spans="1:5" x14ac:dyDescent="0.35">
      <c r="A14" t="s">
        <v>57</v>
      </c>
      <c r="B14" t="s">
        <v>291</v>
      </c>
      <c r="D14" s="3" t="s">
        <v>66</v>
      </c>
      <c r="E14">
        <v>7</v>
      </c>
    </row>
    <row r="15" spans="1:5" x14ac:dyDescent="0.35">
      <c r="A15" t="s">
        <v>57</v>
      </c>
      <c r="B15" t="s">
        <v>292</v>
      </c>
      <c r="D15" s="3" t="s">
        <v>136</v>
      </c>
      <c r="E15">
        <v>3</v>
      </c>
    </row>
    <row r="16" spans="1:5" x14ac:dyDescent="0.35">
      <c r="A16" t="s">
        <v>66</v>
      </c>
      <c r="B16" t="s">
        <v>283</v>
      </c>
      <c r="D16" s="3" t="s">
        <v>146</v>
      </c>
      <c r="E16">
        <v>1</v>
      </c>
    </row>
    <row r="17" spans="1:5" x14ac:dyDescent="0.35">
      <c r="A17" t="s">
        <v>66</v>
      </c>
      <c r="B17" t="s">
        <v>293</v>
      </c>
      <c r="D17" s="3" t="s">
        <v>57</v>
      </c>
      <c r="E17">
        <v>9</v>
      </c>
    </row>
    <row r="18" spans="1:5" x14ac:dyDescent="0.35">
      <c r="A18" t="s">
        <v>66</v>
      </c>
      <c r="B18" t="s">
        <v>294</v>
      </c>
      <c r="D18" s="3" t="s">
        <v>103</v>
      </c>
      <c r="E18">
        <v>1</v>
      </c>
    </row>
    <row r="19" spans="1:5" x14ac:dyDescent="0.35">
      <c r="A19" t="s">
        <v>66</v>
      </c>
      <c r="B19" t="s">
        <v>295</v>
      </c>
      <c r="D19" s="3" t="s">
        <v>153</v>
      </c>
      <c r="E19">
        <v>3</v>
      </c>
    </row>
    <row r="20" spans="1:5" x14ac:dyDescent="0.35">
      <c r="A20" t="s">
        <v>66</v>
      </c>
      <c r="B20" t="s">
        <v>296</v>
      </c>
      <c r="D20" s="3" t="s">
        <v>75</v>
      </c>
      <c r="E20">
        <v>4</v>
      </c>
    </row>
    <row r="21" spans="1:5" x14ac:dyDescent="0.35">
      <c r="A21" t="s">
        <v>66</v>
      </c>
      <c r="B21" t="s">
        <v>297</v>
      </c>
      <c r="D21" s="3" t="s">
        <v>162</v>
      </c>
      <c r="E21">
        <v>2</v>
      </c>
    </row>
    <row r="22" spans="1:5" x14ac:dyDescent="0.35">
      <c r="A22" t="s">
        <v>66</v>
      </c>
      <c r="B22" t="s">
        <v>298</v>
      </c>
      <c r="D22" s="3" t="s">
        <v>32</v>
      </c>
      <c r="E22">
        <v>1</v>
      </c>
    </row>
    <row r="23" spans="1:5" x14ac:dyDescent="0.35">
      <c r="A23" t="s">
        <v>75</v>
      </c>
      <c r="B23" t="s">
        <v>299</v>
      </c>
      <c r="D23" s="3" t="s">
        <v>278</v>
      </c>
      <c r="E23">
        <v>101</v>
      </c>
    </row>
    <row r="24" spans="1:5" x14ac:dyDescent="0.35">
      <c r="A24" t="s">
        <v>75</v>
      </c>
      <c r="B24" t="s">
        <v>300</v>
      </c>
    </row>
    <row r="25" spans="1:5" x14ac:dyDescent="0.35">
      <c r="A25" t="s">
        <v>75</v>
      </c>
      <c r="B25" t="s">
        <v>301</v>
      </c>
    </row>
    <row r="26" spans="1:5" x14ac:dyDescent="0.35">
      <c r="A26" t="s">
        <v>75</v>
      </c>
      <c r="B26" t="s">
        <v>302</v>
      </c>
    </row>
    <row r="27" spans="1:5" x14ac:dyDescent="0.35">
      <c r="A27" t="s">
        <v>85</v>
      </c>
      <c r="B27" t="s">
        <v>91</v>
      </c>
    </row>
    <row r="28" spans="1:5" x14ac:dyDescent="0.35">
      <c r="A28" t="s">
        <v>94</v>
      </c>
      <c r="B28" t="s">
        <v>303</v>
      </c>
    </row>
    <row r="29" spans="1:5" x14ac:dyDescent="0.35">
      <c r="A29" t="s">
        <v>94</v>
      </c>
      <c r="B29" t="s">
        <v>304</v>
      </c>
    </row>
    <row r="30" spans="1:5" x14ac:dyDescent="0.35">
      <c r="A30" t="s">
        <v>94</v>
      </c>
      <c r="B30" t="s">
        <v>305</v>
      </c>
    </row>
    <row r="31" spans="1:5" x14ac:dyDescent="0.35">
      <c r="A31" t="s">
        <v>94</v>
      </c>
      <c r="B31" t="s">
        <v>306</v>
      </c>
    </row>
    <row r="32" spans="1:5" x14ac:dyDescent="0.35">
      <c r="A32" t="s">
        <v>94</v>
      </c>
      <c r="B32" t="s">
        <v>307</v>
      </c>
    </row>
    <row r="33" spans="1:2" x14ac:dyDescent="0.35">
      <c r="A33" t="s">
        <v>94</v>
      </c>
      <c r="B33" t="s">
        <v>308</v>
      </c>
    </row>
    <row r="34" spans="1:2" x14ac:dyDescent="0.35">
      <c r="A34" t="s">
        <v>103</v>
      </c>
      <c r="B34" t="s">
        <v>40</v>
      </c>
    </row>
    <row r="35" spans="1:2" x14ac:dyDescent="0.35">
      <c r="A35" t="s">
        <v>109</v>
      </c>
      <c r="B35" t="s">
        <v>309</v>
      </c>
    </row>
    <row r="36" spans="1:2" x14ac:dyDescent="0.35">
      <c r="A36" t="s">
        <v>109</v>
      </c>
      <c r="B36" t="s">
        <v>310</v>
      </c>
    </row>
    <row r="37" spans="1:2" x14ac:dyDescent="0.35">
      <c r="A37" t="s">
        <v>109</v>
      </c>
      <c r="B37" t="s">
        <v>311</v>
      </c>
    </row>
    <row r="38" spans="1:2" x14ac:dyDescent="0.35">
      <c r="A38" t="s">
        <v>109</v>
      </c>
      <c r="B38" t="s">
        <v>312</v>
      </c>
    </row>
    <row r="39" spans="1:2" x14ac:dyDescent="0.35">
      <c r="A39" t="s">
        <v>109</v>
      </c>
      <c r="B39" t="s">
        <v>313</v>
      </c>
    </row>
    <row r="40" spans="1:2" x14ac:dyDescent="0.35">
      <c r="A40" t="s">
        <v>109</v>
      </c>
      <c r="B40" t="s">
        <v>314</v>
      </c>
    </row>
    <row r="41" spans="1:2" x14ac:dyDescent="0.35">
      <c r="A41" t="s">
        <v>109</v>
      </c>
      <c r="B41" t="s">
        <v>315</v>
      </c>
    </row>
    <row r="42" spans="1:2" x14ac:dyDescent="0.35">
      <c r="A42" t="s">
        <v>118</v>
      </c>
      <c r="B42" t="s">
        <v>316</v>
      </c>
    </row>
    <row r="43" spans="1:2" x14ac:dyDescent="0.35">
      <c r="A43" t="s">
        <v>118</v>
      </c>
      <c r="B43" t="s">
        <v>317</v>
      </c>
    </row>
    <row r="44" spans="1:2" x14ac:dyDescent="0.35">
      <c r="A44" t="s">
        <v>127</v>
      </c>
      <c r="B44" t="s">
        <v>134</v>
      </c>
    </row>
    <row r="45" spans="1:2" x14ac:dyDescent="0.35">
      <c r="A45" t="s">
        <v>136</v>
      </c>
      <c r="B45" t="s">
        <v>318</v>
      </c>
    </row>
    <row r="46" spans="1:2" x14ac:dyDescent="0.35">
      <c r="A46" t="s">
        <v>136</v>
      </c>
      <c r="B46" t="s">
        <v>319</v>
      </c>
    </row>
    <row r="47" spans="1:2" x14ac:dyDescent="0.35">
      <c r="A47" t="s">
        <v>136</v>
      </c>
      <c r="B47" t="s">
        <v>320</v>
      </c>
    </row>
    <row r="48" spans="1:2" x14ac:dyDescent="0.35">
      <c r="A48" t="s">
        <v>146</v>
      </c>
      <c r="B48" t="s">
        <v>151</v>
      </c>
    </row>
    <row r="49" spans="1:2" x14ac:dyDescent="0.35">
      <c r="A49" t="s">
        <v>153</v>
      </c>
      <c r="B49" t="s">
        <v>321</v>
      </c>
    </row>
    <row r="50" spans="1:2" x14ac:dyDescent="0.35">
      <c r="A50" t="s">
        <v>153</v>
      </c>
      <c r="B50" t="s">
        <v>322</v>
      </c>
    </row>
    <row r="51" spans="1:2" x14ac:dyDescent="0.35">
      <c r="A51" t="s">
        <v>153</v>
      </c>
      <c r="B51" t="s">
        <v>323</v>
      </c>
    </row>
    <row r="52" spans="1:2" x14ac:dyDescent="0.35">
      <c r="A52" t="s">
        <v>162</v>
      </c>
      <c r="B52" t="s">
        <v>324</v>
      </c>
    </row>
    <row r="53" spans="1:2" x14ac:dyDescent="0.35">
      <c r="A53" t="s">
        <v>162</v>
      </c>
      <c r="B53" t="s">
        <v>325</v>
      </c>
    </row>
    <row r="54" spans="1:2" x14ac:dyDescent="0.35">
      <c r="A54" t="s">
        <v>172</v>
      </c>
      <c r="B54" t="s">
        <v>326</v>
      </c>
    </row>
    <row r="55" spans="1:2" x14ac:dyDescent="0.35">
      <c r="A55" t="s">
        <v>172</v>
      </c>
      <c r="B55" t="s">
        <v>327</v>
      </c>
    </row>
    <row r="56" spans="1:2" x14ac:dyDescent="0.35">
      <c r="A56" t="s">
        <v>172</v>
      </c>
      <c r="B56" t="s">
        <v>328</v>
      </c>
    </row>
    <row r="57" spans="1:2" x14ac:dyDescent="0.35">
      <c r="A57" t="s">
        <v>172</v>
      </c>
      <c r="B57" t="s">
        <v>329</v>
      </c>
    </row>
    <row r="58" spans="1:2" x14ac:dyDescent="0.35">
      <c r="A58" t="s">
        <v>172</v>
      </c>
      <c r="B58" t="s">
        <v>330</v>
      </c>
    </row>
    <row r="59" spans="1:2" x14ac:dyDescent="0.35">
      <c r="A59" t="s">
        <v>172</v>
      </c>
      <c r="B59" t="s">
        <v>331</v>
      </c>
    </row>
    <row r="60" spans="1:2" x14ac:dyDescent="0.35">
      <c r="A60" t="s">
        <v>172</v>
      </c>
      <c r="B60" t="s">
        <v>332</v>
      </c>
    </row>
    <row r="61" spans="1:2" x14ac:dyDescent="0.35">
      <c r="A61" t="s">
        <v>172</v>
      </c>
      <c r="B61" t="s">
        <v>333</v>
      </c>
    </row>
    <row r="62" spans="1:2" x14ac:dyDescent="0.35">
      <c r="A62" t="s">
        <v>172</v>
      </c>
      <c r="B62" t="s">
        <v>334</v>
      </c>
    </row>
    <row r="63" spans="1:2" x14ac:dyDescent="0.35">
      <c r="A63" t="s">
        <v>172</v>
      </c>
      <c r="B63" t="s">
        <v>335</v>
      </c>
    </row>
    <row r="64" spans="1:2" x14ac:dyDescent="0.35">
      <c r="A64" t="s">
        <v>172</v>
      </c>
      <c r="B64" t="s">
        <v>336</v>
      </c>
    </row>
    <row r="65" spans="1:2" x14ac:dyDescent="0.35">
      <c r="A65" t="s">
        <v>172</v>
      </c>
      <c r="B65" t="s">
        <v>337</v>
      </c>
    </row>
    <row r="66" spans="1:2" x14ac:dyDescent="0.35">
      <c r="A66" t="s">
        <v>172</v>
      </c>
      <c r="B66" t="s">
        <v>338</v>
      </c>
    </row>
    <row r="67" spans="1:2" x14ac:dyDescent="0.35">
      <c r="A67" t="s">
        <v>172</v>
      </c>
      <c r="B67" t="s">
        <v>339</v>
      </c>
    </row>
    <row r="68" spans="1:2" x14ac:dyDescent="0.35">
      <c r="A68" t="s">
        <v>172</v>
      </c>
      <c r="B68" t="s">
        <v>340</v>
      </c>
    </row>
    <row r="69" spans="1:2" x14ac:dyDescent="0.35">
      <c r="A69" t="s">
        <v>172</v>
      </c>
      <c r="B69" t="s">
        <v>341</v>
      </c>
    </row>
    <row r="70" spans="1:2" x14ac:dyDescent="0.35">
      <c r="A70" t="s">
        <v>172</v>
      </c>
      <c r="B70" t="s">
        <v>342</v>
      </c>
    </row>
    <row r="71" spans="1:2" x14ac:dyDescent="0.35">
      <c r="A71" t="s">
        <v>172</v>
      </c>
      <c r="B71" t="s">
        <v>343</v>
      </c>
    </row>
    <row r="72" spans="1:2" x14ac:dyDescent="0.35">
      <c r="A72" t="s">
        <v>172</v>
      </c>
      <c r="B72" t="s">
        <v>344</v>
      </c>
    </row>
    <row r="73" spans="1:2" x14ac:dyDescent="0.35">
      <c r="A73" t="s">
        <v>172</v>
      </c>
      <c r="B73" t="s">
        <v>345</v>
      </c>
    </row>
    <row r="74" spans="1:2" x14ac:dyDescent="0.35">
      <c r="A74" t="s">
        <v>179</v>
      </c>
      <c r="B74" t="s">
        <v>346</v>
      </c>
    </row>
    <row r="75" spans="1:2" x14ac:dyDescent="0.35">
      <c r="A75" t="s">
        <v>179</v>
      </c>
      <c r="B75" t="s">
        <v>347</v>
      </c>
    </row>
    <row r="76" spans="1:2" x14ac:dyDescent="0.35">
      <c r="A76" t="s">
        <v>187</v>
      </c>
      <c r="B76" t="s">
        <v>348</v>
      </c>
    </row>
    <row r="77" spans="1:2" x14ac:dyDescent="0.35">
      <c r="A77" t="s">
        <v>187</v>
      </c>
      <c r="B77" t="s">
        <v>349</v>
      </c>
    </row>
    <row r="78" spans="1:2" x14ac:dyDescent="0.35">
      <c r="A78" t="s">
        <v>187</v>
      </c>
      <c r="B78" t="s">
        <v>350</v>
      </c>
    </row>
    <row r="79" spans="1:2" x14ac:dyDescent="0.35">
      <c r="A79" t="s">
        <v>187</v>
      </c>
      <c r="B79" t="s">
        <v>351</v>
      </c>
    </row>
    <row r="80" spans="1:2" x14ac:dyDescent="0.35">
      <c r="A80" t="s">
        <v>187</v>
      </c>
      <c r="B80" t="s">
        <v>352</v>
      </c>
    </row>
    <row r="81" spans="1:2" x14ac:dyDescent="0.35">
      <c r="A81" t="s">
        <v>187</v>
      </c>
      <c r="B81" t="s">
        <v>353</v>
      </c>
    </row>
    <row r="82" spans="1:2" x14ac:dyDescent="0.35">
      <c r="A82" t="s">
        <v>187</v>
      </c>
      <c r="B82" t="s">
        <v>354</v>
      </c>
    </row>
    <row r="83" spans="1:2" x14ac:dyDescent="0.35">
      <c r="A83" t="s">
        <v>187</v>
      </c>
      <c r="B83" t="s">
        <v>355</v>
      </c>
    </row>
    <row r="84" spans="1:2" x14ac:dyDescent="0.35">
      <c r="A84" t="s">
        <v>187</v>
      </c>
      <c r="B84" t="s">
        <v>356</v>
      </c>
    </row>
    <row r="85" spans="1:2" x14ac:dyDescent="0.35">
      <c r="A85" t="s">
        <v>187</v>
      </c>
      <c r="B85" t="s">
        <v>357</v>
      </c>
    </row>
    <row r="86" spans="1:2" x14ac:dyDescent="0.35">
      <c r="A86" t="s">
        <v>187</v>
      </c>
      <c r="B86" t="s">
        <v>358</v>
      </c>
    </row>
    <row r="87" spans="1:2" x14ac:dyDescent="0.35">
      <c r="A87" t="s">
        <v>187</v>
      </c>
      <c r="B87" t="s">
        <v>359</v>
      </c>
    </row>
    <row r="88" spans="1:2" x14ac:dyDescent="0.35">
      <c r="A88" t="s">
        <v>187</v>
      </c>
      <c r="B88" t="s">
        <v>360</v>
      </c>
    </row>
    <row r="89" spans="1:2" x14ac:dyDescent="0.35">
      <c r="A89" t="s">
        <v>194</v>
      </c>
      <c r="B89" t="s">
        <v>361</v>
      </c>
    </row>
    <row r="90" spans="1:2" x14ac:dyDescent="0.35">
      <c r="A90" t="s">
        <v>194</v>
      </c>
      <c r="B90" t="s">
        <v>362</v>
      </c>
    </row>
    <row r="91" spans="1:2" x14ac:dyDescent="0.35">
      <c r="A91" t="s">
        <v>194</v>
      </c>
      <c r="B91" t="s">
        <v>363</v>
      </c>
    </row>
    <row r="92" spans="1:2" x14ac:dyDescent="0.35">
      <c r="A92" t="s">
        <v>194</v>
      </c>
      <c r="B92" t="s">
        <v>134</v>
      </c>
    </row>
    <row r="93" spans="1:2" x14ac:dyDescent="0.35">
      <c r="A93" t="s">
        <v>194</v>
      </c>
      <c r="B93" t="s">
        <v>364</v>
      </c>
    </row>
    <row r="94" spans="1:2" x14ac:dyDescent="0.35">
      <c r="A94" t="s">
        <v>194</v>
      </c>
      <c r="B94" t="s">
        <v>365</v>
      </c>
    </row>
    <row r="95" spans="1:2" x14ac:dyDescent="0.35">
      <c r="A95" t="s">
        <v>194</v>
      </c>
      <c r="B95" t="s">
        <v>366</v>
      </c>
    </row>
    <row r="96" spans="1:2" x14ac:dyDescent="0.35">
      <c r="A96" t="s">
        <v>194</v>
      </c>
      <c r="B96" t="s">
        <v>367</v>
      </c>
    </row>
    <row r="97" spans="1:2" x14ac:dyDescent="0.35">
      <c r="A97" t="s">
        <v>194</v>
      </c>
      <c r="B97" t="s">
        <v>368</v>
      </c>
    </row>
    <row r="98" spans="1:2" x14ac:dyDescent="0.35">
      <c r="A98" t="s">
        <v>194</v>
      </c>
      <c r="B98" t="s">
        <v>369</v>
      </c>
    </row>
    <row r="99" spans="1:2" x14ac:dyDescent="0.35">
      <c r="A99" t="s">
        <v>194</v>
      </c>
      <c r="B99" t="s">
        <v>370</v>
      </c>
    </row>
    <row r="100" spans="1:2" x14ac:dyDescent="0.35">
      <c r="A100" t="s">
        <v>194</v>
      </c>
      <c r="B100" t="s">
        <v>371</v>
      </c>
    </row>
    <row r="101" spans="1:2" x14ac:dyDescent="0.35">
      <c r="A101" t="s">
        <v>194</v>
      </c>
      <c r="B101" t="s">
        <v>372</v>
      </c>
    </row>
    <row r="102" spans="1:2" x14ac:dyDescent="0.35">
      <c r="A102" t="s">
        <v>194</v>
      </c>
      <c r="B102" t="s">
        <v>373</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9A13-0B60-4EA8-8CC9-C1A22000014A}">
  <dimension ref="A1:C21"/>
  <sheetViews>
    <sheetView workbookViewId="0">
      <selection activeCell="B3" sqref="B3"/>
    </sheetView>
  </sheetViews>
  <sheetFormatPr defaultRowHeight="14.5" x14ac:dyDescent="0.35"/>
  <cols>
    <col min="1" max="1" width="10.08984375" bestFit="1" customWidth="1"/>
    <col min="2" max="2" width="40.26953125" customWidth="1"/>
    <col min="3" max="3" width="7" bestFit="1" customWidth="1"/>
  </cols>
  <sheetData>
    <row r="1" spans="1:3" x14ac:dyDescent="0.35">
      <c r="A1" t="s">
        <v>0</v>
      </c>
      <c r="B1" t="s">
        <v>1</v>
      </c>
      <c r="C1" t="s">
        <v>3</v>
      </c>
    </row>
    <row r="2" spans="1:3" x14ac:dyDescent="0.35">
      <c r="A2" t="s">
        <v>19</v>
      </c>
      <c r="B2" t="str">
        <f>INDEX(disney_plus_shows[Title],MATCH(disney_plus_shows[[#This Row],[imdb_id]],disney_plus_shows[imdb_id],0))</f>
        <v>10 Things I Hate About You</v>
      </c>
      <c r="C2" t="s">
        <v>22</v>
      </c>
    </row>
    <row r="3" spans="1:3" x14ac:dyDescent="0.35">
      <c r="A3" t="s">
        <v>32</v>
      </c>
      <c r="B3" t="str">
        <f>INDEX(disney_plus_shows[Title],MATCH(disney_plus_shows[[#This Row],[imdb_id]],disney_plus_shows[imdb_id],0))</f>
        <v>101 Dalmatian Street</v>
      </c>
      <c r="C3" t="s">
        <v>35</v>
      </c>
    </row>
    <row r="4" spans="1:3" x14ac:dyDescent="0.35">
      <c r="A4" t="s">
        <v>45</v>
      </c>
      <c r="B4" t="str">
        <f>INDEX(disney_plus_shows[Title],MATCH(disney_plus_shows[[#This Row],[imdb_id]],disney_plus_shows[imdb_id],0))</f>
        <v>101 Dalmatians</v>
      </c>
      <c r="C4" t="s">
        <v>22</v>
      </c>
    </row>
    <row r="5" spans="1:3" x14ac:dyDescent="0.35">
      <c r="A5" t="s">
        <v>57</v>
      </c>
      <c r="B5" t="str">
        <f>INDEX(disney_plus_shows[Title],MATCH(disney_plus_shows[[#This Row],[imdb_id]],disney_plus_shows[imdb_id],0))</f>
        <v>101 Dalmatians 2: Patch's London Adventure</v>
      </c>
      <c r="C5" t="s">
        <v>22</v>
      </c>
    </row>
    <row r="6" spans="1:3" x14ac:dyDescent="0.35">
      <c r="A6" t="s">
        <v>66</v>
      </c>
      <c r="B6" t="str">
        <f>INDEX(disney_plus_shows[Title],MATCH(disney_plus_shows[[#This Row],[imdb_id]],disney_plus_shows[imdb_id],0))</f>
        <v>102 Dalmatians</v>
      </c>
      <c r="C6" t="s">
        <v>22</v>
      </c>
    </row>
    <row r="7" spans="1:3" x14ac:dyDescent="0.35">
      <c r="A7" t="s">
        <v>75</v>
      </c>
      <c r="B7" t="str">
        <f>INDEX(disney_plus_shows[Title],MATCH(disney_plus_shows[[#This Row],[imdb_id]],disney_plus_shows[imdb_id],0))</f>
        <v>12 Dates of Christmas</v>
      </c>
      <c r="C7" t="s">
        <v>35</v>
      </c>
    </row>
    <row r="8" spans="1:3" x14ac:dyDescent="0.35">
      <c r="A8" t="s">
        <v>85</v>
      </c>
      <c r="B8" t="str">
        <f>INDEX(disney_plus_shows[Title],MATCH(disney_plus_shows[[#This Row],[imdb_id]],disney_plus_shows[imdb_id],0))</f>
        <v>20,000 Leagues Under the Sea</v>
      </c>
      <c r="C8" t="s">
        <v>22</v>
      </c>
    </row>
    <row r="9" spans="1:3" x14ac:dyDescent="0.35">
      <c r="A9" t="s">
        <v>94</v>
      </c>
      <c r="B9" t="str">
        <f>INDEX(disney_plus_shows[Title],MATCH(disney_plus_shows[[#This Row],[imdb_id]],disney_plus_shows[imdb_id],0))</f>
        <v>A Bug's Life</v>
      </c>
      <c r="C9" t="s">
        <v>22</v>
      </c>
    </row>
    <row r="10" spans="1:3" x14ac:dyDescent="0.35">
      <c r="A10" t="s">
        <v>103</v>
      </c>
      <c r="B10" t="str">
        <f>INDEX(disney_plus_shows[Title],MATCH(disney_plus_shows[[#This Row],[imdb_id]],disney_plus_shows[imdb_id],0))</f>
        <v>A Celebration of the Music from Coco</v>
      </c>
      <c r="C10" t="s">
        <v>35</v>
      </c>
    </row>
    <row r="11" spans="1:3" x14ac:dyDescent="0.35">
      <c r="A11" t="s">
        <v>109</v>
      </c>
      <c r="B11" t="str">
        <f>INDEX(disney_plus_shows[Title],MATCH(disney_plus_shows[[#This Row],[imdb_id]],disney_plus_shows[imdb_id],0))</f>
        <v>A Goofy Movie</v>
      </c>
      <c r="C11" t="s">
        <v>22</v>
      </c>
    </row>
    <row r="12" spans="1:3" x14ac:dyDescent="0.35">
      <c r="A12" t="s">
        <v>118</v>
      </c>
      <c r="B12" t="str">
        <f>INDEX(disney_plus_shows[Title],MATCH(disney_plus_shows[[#This Row],[imdb_id]],disney_plus_shows[imdb_id],0))</f>
        <v>A Kid in King Arthur's Court</v>
      </c>
      <c r="C12" t="s">
        <v>22</v>
      </c>
    </row>
    <row r="13" spans="1:3" x14ac:dyDescent="0.35">
      <c r="A13" t="s">
        <v>127</v>
      </c>
      <c r="B13" t="str">
        <f>INDEX(disney_plus_shows[Title],MATCH(disney_plus_shows[[#This Row],[imdb_id]],disney_plus_shows[imdb_id],0))</f>
        <v>A Knight for a Day</v>
      </c>
      <c r="C13" t="s">
        <v>35</v>
      </c>
    </row>
    <row r="14" spans="1:3" x14ac:dyDescent="0.35">
      <c r="A14" t="s">
        <v>136</v>
      </c>
      <c r="B14" t="str">
        <f>INDEX(disney_plus_shows[Title],MATCH(disney_plus_shows[[#This Row],[imdb_id]],disney_plus_shows[imdb_id],0))</f>
        <v>A Ring of Endless Light</v>
      </c>
      <c r="C14" t="s">
        <v>22</v>
      </c>
    </row>
    <row r="15" spans="1:3" x14ac:dyDescent="0.35">
      <c r="A15" t="s">
        <v>146</v>
      </c>
      <c r="B15" t="str">
        <f>INDEX(disney_plus_shows[Title],MATCH(disney_plus_shows[[#This Row],[imdb_id]],disney_plus_shows[imdb_id],0))</f>
        <v>A Tale of Two Critters</v>
      </c>
      <c r="C15" t="s">
        <v>22</v>
      </c>
    </row>
    <row r="16" spans="1:3" x14ac:dyDescent="0.35">
      <c r="A16" t="s">
        <v>153</v>
      </c>
      <c r="B16" t="str">
        <f>INDEX(disney_plus_shows[Title],MATCH(disney_plus_shows[[#This Row],[imdb_id]],disney_plus_shows[imdb_id],0))</f>
        <v>A Wrinkle in Time</v>
      </c>
      <c r="C16" t="s">
        <v>35</v>
      </c>
    </row>
    <row r="17" spans="1:3" x14ac:dyDescent="0.35">
      <c r="A17" t="s">
        <v>162</v>
      </c>
      <c r="B17" t="str">
        <f>INDEX(disney_plus_shows[Title],MATCH(disney_plus_shows[[#This Row],[imdb_id]],disney_plus_shows[imdb_id],0))</f>
        <v>Aladdin</v>
      </c>
      <c r="C17" t="s">
        <v>22</v>
      </c>
    </row>
    <row r="18" spans="1:3" x14ac:dyDescent="0.35">
      <c r="A18" t="s">
        <v>172</v>
      </c>
      <c r="B18" t="str">
        <f>INDEX(disney_plus_shows[Title],MATCH(disney_plus_shows[[#This Row],[imdb_id]],disney_plus_shows[imdb_id],0))</f>
        <v>Aladdin</v>
      </c>
      <c r="C18" t="s">
        <v>22</v>
      </c>
    </row>
    <row r="19" spans="1:3" x14ac:dyDescent="0.35">
      <c r="A19" t="s">
        <v>179</v>
      </c>
      <c r="B19" t="str">
        <f>INDEX(disney_plus_shows[Title],MATCH(disney_plus_shows[[#This Row],[imdb_id]],disney_plus_shows[imdb_id],0))</f>
        <v>Aladdin and the King of Thieves</v>
      </c>
      <c r="C19" t="s">
        <v>35</v>
      </c>
    </row>
    <row r="20" spans="1:3" x14ac:dyDescent="0.35">
      <c r="A20" t="s">
        <v>187</v>
      </c>
      <c r="B20" t="str">
        <f>INDEX(disney_plus_shows[Title],MATCH(disney_plus_shows[[#This Row],[imdb_id]],disney_plus_shows[imdb_id],0))</f>
        <v>Aladdin and the Return of Jafar</v>
      </c>
      <c r="C20" t="s">
        <v>22</v>
      </c>
    </row>
    <row r="21" spans="1:3" x14ac:dyDescent="0.35">
      <c r="A21" t="s">
        <v>194</v>
      </c>
      <c r="B21" t="str">
        <f>INDEX(disney_plus_shows[Title],MATCH(disney_plus_shows[[#This Row],[imdb_id]],disney_plus_shows[imdb_id],0))</f>
        <v>Alice in Wonderland</v>
      </c>
      <c r="C21"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ACD1-090E-4B6F-8FE5-A75D4BAF0151}">
  <dimension ref="A1:F73"/>
  <sheetViews>
    <sheetView workbookViewId="0">
      <selection activeCell="J10" sqref="J10"/>
    </sheetView>
  </sheetViews>
  <sheetFormatPr defaultRowHeight="14.5" x14ac:dyDescent="0.35"/>
  <cols>
    <col min="1" max="1" width="10.08984375" bestFit="1" customWidth="1"/>
    <col min="2" max="2" width="17.90625" bestFit="1" customWidth="1"/>
    <col min="5" max="5" width="12.453125" bestFit="1" customWidth="1"/>
    <col min="6" max="6" width="13.6328125" bestFit="1" customWidth="1"/>
  </cols>
  <sheetData>
    <row r="1" spans="1:6" x14ac:dyDescent="0.35">
      <c r="A1" t="s">
        <v>0</v>
      </c>
      <c r="B1" t="s">
        <v>12</v>
      </c>
    </row>
    <row r="2" spans="1:6" x14ac:dyDescent="0.35">
      <c r="A2" t="s">
        <v>19</v>
      </c>
      <c r="B2" t="s">
        <v>214</v>
      </c>
    </row>
    <row r="3" spans="1:6" x14ac:dyDescent="0.35">
      <c r="A3" t="s">
        <v>19</v>
      </c>
      <c r="B3" t="s">
        <v>215</v>
      </c>
      <c r="E3" s="2" t="s">
        <v>0</v>
      </c>
      <c r="F3" t="s">
        <v>279</v>
      </c>
    </row>
    <row r="4" spans="1:6" x14ac:dyDescent="0.35">
      <c r="A4" t="s">
        <v>19</v>
      </c>
      <c r="B4" t="s">
        <v>216</v>
      </c>
      <c r="E4" s="3" t="s">
        <v>127</v>
      </c>
      <c r="F4">
        <v>1</v>
      </c>
    </row>
    <row r="5" spans="1:6" x14ac:dyDescent="0.35">
      <c r="A5" t="s">
        <v>19</v>
      </c>
      <c r="B5" t="s">
        <v>217</v>
      </c>
      <c r="E5" s="3" t="s">
        <v>194</v>
      </c>
      <c r="F5">
        <v>4</v>
      </c>
    </row>
    <row r="6" spans="1:6" x14ac:dyDescent="0.35">
      <c r="A6" t="s">
        <v>32</v>
      </c>
      <c r="B6" t="s">
        <v>218</v>
      </c>
      <c r="E6" s="3" t="s">
        <v>85</v>
      </c>
      <c r="F6">
        <v>4</v>
      </c>
    </row>
    <row r="7" spans="1:6" x14ac:dyDescent="0.35">
      <c r="A7" t="s">
        <v>32</v>
      </c>
      <c r="B7" t="s">
        <v>219</v>
      </c>
      <c r="E7" s="3" t="s">
        <v>172</v>
      </c>
      <c r="F7">
        <v>4</v>
      </c>
    </row>
    <row r="8" spans="1:6" x14ac:dyDescent="0.35">
      <c r="A8" t="s">
        <v>32</v>
      </c>
      <c r="B8" t="s">
        <v>220</v>
      </c>
      <c r="E8" s="3" t="s">
        <v>187</v>
      </c>
      <c r="F8">
        <v>4</v>
      </c>
    </row>
    <row r="9" spans="1:6" x14ac:dyDescent="0.35">
      <c r="A9" t="s">
        <v>32</v>
      </c>
      <c r="B9" t="s">
        <v>221</v>
      </c>
      <c r="E9" s="3" t="s">
        <v>109</v>
      </c>
      <c r="F9">
        <v>4</v>
      </c>
    </row>
    <row r="10" spans="1:6" x14ac:dyDescent="0.35">
      <c r="A10" t="s">
        <v>45</v>
      </c>
      <c r="B10" t="s">
        <v>222</v>
      </c>
      <c r="E10" s="3" t="s">
        <v>118</v>
      </c>
      <c r="F10">
        <v>4</v>
      </c>
    </row>
    <row r="11" spans="1:6" x14ac:dyDescent="0.35">
      <c r="A11" t="s">
        <v>45</v>
      </c>
      <c r="B11" t="s">
        <v>223</v>
      </c>
      <c r="E11" s="3" t="s">
        <v>45</v>
      </c>
      <c r="F11">
        <v>4</v>
      </c>
    </row>
    <row r="12" spans="1:6" x14ac:dyDescent="0.35">
      <c r="A12" t="s">
        <v>45</v>
      </c>
      <c r="B12" t="s">
        <v>224</v>
      </c>
      <c r="E12" s="3" t="s">
        <v>179</v>
      </c>
      <c r="F12">
        <v>4</v>
      </c>
    </row>
    <row r="13" spans="1:6" x14ac:dyDescent="0.35">
      <c r="A13" t="s">
        <v>45</v>
      </c>
      <c r="B13" t="s">
        <v>225</v>
      </c>
      <c r="E13" s="3" t="s">
        <v>94</v>
      </c>
      <c r="F13">
        <v>4</v>
      </c>
    </row>
    <row r="14" spans="1:6" x14ac:dyDescent="0.35">
      <c r="A14" t="s">
        <v>57</v>
      </c>
      <c r="B14" t="s">
        <v>226</v>
      </c>
      <c r="E14" s="3" t="s">
        <v>19</v>
      </c>
      <c r="F14">
        <v>4</v>
      </c>
    </row>
    <row r="15" spans="1:6" x14ac:dyDescent="0.35">
      <c r="A15" t="s">
        <v>57</v>
      </c>
      <c r="B15" t="s">
        <v>227</v>
      </c>
      <c r="E15" s="3" t="s">
        <v>66</v>
      </c>
      <c r="F15">
        <v>4</v>
      </c>
    </row>
    <row r="16" spans="1:6" x14ac:dyDescent="0.35">
      <c r="A16" t="s">
        <v>57</v>
      </c>
      <c r="B16" t="s">
        <v>228</v>
      </c>
      <c r="E16" s="3" t="s">
        <v>136</v>
      </c>
      <c r="F16">
        <v>4</v>
      </c>
    </row>
    <row r="17" spans="1:6" x14ac:dyDescent="0.35">
      <c r="A17" t="s">
        <v>57</v>
      </c>
      <c r="B17" t="s">
        <v>229</v>
      </c>
      <c r="E17" s="3" t="s">
        <v>146</v>
      </c>
      <c r="F17">
        <v>1</v>
      </c>
    </row>
    <row r="18" spans="1:6" x14ac:dyDescent="0.35">
      <c r="A18" t="s">
        <v>66</v>
      </c>
      <c r="B18" t="s">
        <v>222</v>
      </c>
      <c r="E18" s="3" t="s">
        <v>57</v>
      </c>
      <c r="F18">
        <v>4</v>
      </c>
    </row>
    <row r="19" spans="1:6" x14ac:dyDescent="0.35">
      <c r="A19" t="s">
        <v>66</v>
      </c>
      <c r="B19" t="s">
        <v>230</v>
      </c>
      <c r="E19" s="3" t="s">
        <v>103</v>
      </c>
      <c r="F19">
        <v>2</v>
      </c>
    </row>
    <row r="20" spans="1:6" x14ac:dyDescent="0.35">
      <c r="A20" t="s">
        <v>66</v>
      </c>
      <c r="B20" t="s">
        <v>231</v>
      </c>
      <c r="E20" s="3" t="s">
        <v>153</v>
      </c>
      <c r="F20">
        <v>4</v>
      </c>
    </row>
    <row r="21" spans="1:6" x14ac:dyDescent="0.35">
      <c r="A21" t="s">
        <v>66</v>
      </c>
      <c r="B21" t="s">
        <v>232</v>
      </c>
      <c r="E21" s="3" t="s">
        <v>75</v>
      </c>
      <c r="F21">
        <v>4</v>
      </c>
    </row>
    <row r="22" spans="1:6" x14ac:dyDescent="0.35">
      <c r="A22" t="s">
        <v>75</v>
      </c>
      <c r="B22" t="s">
        <v>233</v>
      </c>
      <c r="E22" s="3" t="s">
        <v>162</v>
      </c>
      <c r="F22">
        <v>4</v>
      </c>
    </row>
    <row r="23" spans="1:6" x14ac:dyDescent="0.35">
      <c r="A23" t="s">
        <v>75</v>
      </c>
      <c r="B23" t="s">
        <v>234</v>
      </c>
      <c r="E23" s="3" t="s">
        <v>32</v>
      </c>
      <c r="F23">
        <v>4</v>
      </c>
    </row>
    <row r="24" spans="1:6" x14ac:dyDescent="0.35">
      <c r="A24" t="s">
        <v>75</v>
      </c>
      <c r="B24" t="s">
        <v>235</v>
      </c>
      <c r="E24" s="3" t="s">
        <v>278</v>
      </c>
      <c r="F24">
        <v>72</v>
      </c>
    </row>
    <row r="25" spans="1:6" x14ac:dyDescent="0.35">
      <c r="A25" t="s">
        <v>75</v>
      </c>
      <c r="B25" t="s">
        <v>236</v>
      </c>
    </row>
    <row r="26" spans="1:6" x14ac:dyDescent="0.35">
      <c r="A26" t="s">
        <v>85</v>
      </c>
      <c r="B26" t="s">
        <v>237</v>
      </c>
    </row>
    <row r="27" spans="1:6" x14ac:dyDescent="0.35">
      <c r="A27" t="s">
        <v>85</v>
      </c>
      <c r="B27" t="s">
        <v>238</v>
      </c>
    </row>
    <row r="28" spans="1:6" x14ac:dyDescent="0.35">
      <c r="A28" t="s">
        <v>85</v>
      </c>
      <c r="B28" t="s">
        <v>239</v>
      </c>
    </row>
    <row r="29" spans="1:6" x14ac:dyDescent="0.35">
      <c r="A29" t="s">
        <v>85</v>
      </c>
      <c r="B29" t="s">
        <v>240</v>
      </c>
    </row>
    <row r="30" spans="1:6" x14ac:dyDescent="0.35">
      <c r="A30" t="s">
        <v>94</v>
      </c>
      <c r="B30" t="s">
        <v>241</v>
      </c>
    </row>
    <row r="31" spans="1:6" x14ac:dyDescent="0.35">
      <c r="A31" t="s">
        <v>94</v>
      </c>
      <c r="B31" t="s">
        <v>242</v>
      </c>
    </row>
    <row r="32" spans="1:6" x14ac:dyDescent="0.35">
      <c r="A32" t="s">
        <v>94</v>
      </c>
      <c r="B32" t="s">
        <v>243</v>
      </c>
    </row>
    <row r="33" spans="1:2" x14ac:dyDescent="0.35">
      <c r="A33" t="s">
        <v>94</v>
      </c>
      <c r="B33" t="s">
        <v>244</v>
      </c>
    </row>
    <row r="34" spans="1:2" x14ac:dyDescent="0.35">
      <c r="A34" t="s">
        <v>103</v>
      </c>
      <c r="B34" t="s">
        <v>245</v>
      </c>
    </row>
    <row r="35" spans="1:2" x14ac:dyDescent="0.35">
      <c r="A35" t="s">
        <v>103</v>
      </c>
      <c r="B35" t="s">
        <v>246</v>
      </c>
    </row>
    <row r="36" spans="1:2" x14ac:dyDescent="0.35">
      <c r="A36" t="s">
        <v>109</v>
      </c>
      <c r="B36" t="s">
        <v>247</v>
      </c>
    </row>
    <row r="37" spans="1:2" x14ac:dyDescent="0.35">
      <c r="A37" t="s">
        <v>109</v>
      </c>
      <c r="B37" t="s">
        <v>248</v>
      </c>
    </row>
    <row r="38" spans="1:2" x14ac:dyDescent="0.35">
      <c r="A38" t="s">
        <v>109</v>
      </c>
      <c r="B38" t="s">
        <v>249</v>
      </c>
    </row>
    <row r="39" spans="1:2" x14ac:dyDescent="0.35">
      <c r="A39" t="s">
        <v>109</v>
      </c>
      <c r="B39" t="s">
        <v>250</v>
      </c>
    </row>
    <row r="40" spans="1:2" x14ac:dyDescent="0.35">
      <c r="A40" t="s">
        <v>118</v>
      </c>
      <c r="B40" t="s">
        <v>251</v>
      </c>
    </row>
    <row r="41" spans="1:2" x14ac:dyDescent="0.35">
      <c r="A41" t="s">
        <v>118</v>
      </c>
      <c r="B41" t="s">
        <v>252</v>
      </c>
    </row>
    <row r="42" spans="1:2" x14ac:dyDescent="0.35">
      <c r="A42" t="s">
        <v>118</v>
      </c>
      <c r="B42" t="s">
        <v>253</v>
      </c>
    </row>
    <row r="43" spans="1:2" x14ac:dyDescent="0.35">
      <c r="A43" t="s">
        <v>118</v>
      </c>
      <c r="B43" t="s">
        <v>254</v>
      </c>
    </row>
    <row r="44" spans="1:2" x14ac:dyDescent="0.35">
      <c r="A44" t="s">
        <v>127</v>
      </c>
      <c r="B44" t="s">
        <v>135</v>
      </c>
    </row>
    <row r="45" spans="1:2" x14ac:dyDescent="0.35">
      <c r="A45" t="s">
        <v>136</v>
      </c>
      <c r="B45" t="s">
        <v>255</v>
      </c>
    </row>
    <row r="46" spans="1:2" x14ac:dyDescent="0.35">
      <c r="A46" t="s">
        <v>136</v>
      </c>
      <c r="B46" t="s">
        <v>256</v>
      </c>
    </row>
    <row r="47" spans="1:2" x14ac:dyDescent="0.35">
      <c r="A47" t="s">
        <v>136</v>
      </c>
      <c r="B47" t="s">
        <v>257</v>
      </c>
    </row>
    <row r="48" spans="1:2" x14ac:dyDescent="0.35">
      <c r="A48" t="s">
        <v>136</v>
      </c>
      <c r="B48" t="s">
        <v>258</v>
      </c>
    </row>
    <row r="49" spans="1:2" x14ac:dyDescent="0.35">
      <c r="A49" t="s">
        <v>146</v>
      </c>
      <c r="B49" t="s">
        <v>152</v>
      </c>
    </row>
    <row r="50" spans="1:2" x14ac:dyDescent="0.35">
      <c r="A50" t="s">
        <v>153</v>
      </c>
      <c r="B50" t="s">
        <v>259</v>
      </c>
    </row>
    <row r="51" spans="1:2" x14ac:dyDescent="0.35">
      <c r="A51" t="s">
        <v>153</v>
      </c>
      <c r="B51" t="s">
        <v>260</v>
      </c>
    </row>
    <row r="52" spans="1:2" x14ac:dyDescent="0.35">
      <c r="A52" t="s">
        <v>153</v>
      </c>
      <c r="B52" t="s">
        <v>261</v>
      </c>
    </row>
    <row r="53" spans="1:2" x14ac:dyDescent="0.35">
      <c r="A53" t="s">
        <v>153</v>
      </c>
      <c r="B53" t="s">
        <v>262</v>
      </c>
    </row>
    <row r="54" spans="1:2" x14ac:dyDescent="0.35">
      <c r="A54" t="s">
        <v>162</v>
      </c>
      <c r="B54" t="s">
        <v>263</v>
      </c>
    </row>
    <row r="55" spans="1:2" x14ac:dyDescent="0.35">
      <c r="A55" t="s">
        <v>162</v>
      </c>
      <c r="B55" t="s">
        <v>264</v>
      </c>
    </row>
    <row r="56" spans="1:2" x14ac:dyDescent="0.35">
      <c r="A56" t="s">
        <v>162</v>
      </c>
      <c r="B56" t="s">
        <v>265</v>
      </c>
    </row>
    <row r="57" spans="1:2" x14ac:dyDescent="0.35">
      <c r="A57" t="s">
        <v>162</v>
      </c>
      <c r="B57" t="s">
        <v>266</v>
      </c>
    </row>
    <row r="58" spans="1:2" x14ac:dyDescent="0.35">
      <c r="A58" t="s">
        <v>172</v>
      </c>
      <c r="B58" t="s">
        <v>267</v>
      </c>
    </row>
    <row r="59" spans="1:2" x14ac:dyDescent="0.35">
      <c r="A59" t="s">
        <v>172</v>
      </c>
      <c r="B59" t="s">
        <v>268</v>
      </c>
    </row>
    <row r="60" spans="1:2" x14ac:dyDescent="0.35">
      <c r="A60" t="s">
        <v>172</v>
      </c>
      <c r="B60" t="s">
        <v>269</v>
      </c>
    </row>
    <row r="61" spans="1:2" x14ac:dyDescent="0.35">
      <c r="A61" t="s">
        <v>172</v>
      </c>
      <c r="B61" t="s">
        <v>270</v>
      </c>
    </row>
    <row r="62" spans="1:2" x14ac:dyDescent="0.35">
      <c r="A62" t="s">
        <v>179</v>
      </c>
      <c r="B62" t="s">
        <v>271</v>
      </c>
    </row>
    <row r="63" spans="1:2" x14ac:dyDescent="0.35">
      <c r="A63" t="s">
        <v>179</v>
      </c>
      <c r="B63" t="s">
        <v>249</v>
      </c>
    </row>
    <row r="64" spans="1:2" x14ac:dyDescent="0.35">
      <c r="A64" t="s">
        <v>179</v>
      </c>
      <c r="B64" t="s">
        <v>272</v>
      </c>
    </row>
    <row r="65" spans="1:2" x14ac:dyDescent="0.35">
      <c r="A65" t="s">
        <v>179</v>
      </c>
      <c r="B65" t="s">
        <v>269</v>
      </c>
    </row>
    <row r="66" spans="1:2" x14ac:dyDescent="0.35">
      <c r="A66" t="s">
        <v>187</v>
      </c>
      <c r="B66" t="s">
        <v>227</v>
      </c>
    </row>
    <row r="67" spans="1:2" x14ac:dyDescent="0.35">
      <c r="A67" t="s">
        <v>187</v>
      </c>
      <c r="B67" t="s">
        <v>270</v>
      </c>
    </row>
    <row r="68" spans="1:2" x14ac:dyDescent="0.35">
      <c r="A68" t="s">
        <v>187</v>
      </c>
      <c r="B68" t="s">
        <v>273</v>
      </c>
    </row>
    <row r="69" spans="1:2" x14ac:dyDescent="0.35">
      <c r="A69" t="s">
        <v>187</v>
      </c>
      <c r="B69" t="s">
        <v>272</v>
      </c>
    </row>
    <row r="70" spans="1:2" x14ac:dyDescent="0.35">
      <c r="A70" t="s">
        <v>194</v>
      </c>
      <c r="B70" t="s">
        <v>274</v>
      </c>
    </row>
    <row r="71" spans="1:2" x14ac:dyDescent="0.35">
      <c r="A71" t="s">
        <v>194</v>
      </c>
      <c r="B71" t="s">
        <v>275</v>
      </c>
    </row>
    <row r="72" spans="1:2" x14ac:dyDescent="0.35">
      <c r="A72" t="s">
        <v>194</v>
      </c>
      <c r="B72" t="s">
        <v>276</v>
      </c>
    </row>
    <row r="73" spans="1:2" x14ac:dyDescent="0.35">
      <c r="A73" t="s">
        <v>194</v>
      </c>
      <c r="B73" t="s">
        <v>277</v>
      </c>
    </row>
  </sheetData>
  <conditionalFormatting sqref="A2:B73">
    <cfRule type="dataBar" priority="1">
      <dataBar>
        <cfvo type="min"/>
        <cfvo type="max"/>
        <color rgb="FF638EC6"/>
      </dataBar>
      <extLst>
        <ext xmlns:x14="http://schemas.microsoft.com/office/spreadsheetml/2009/9/main" uri="{B025F937-C7B1-47D3-B67F-A62EFF666E3E}">
          <x14:id>{44CCEDA3-9BB1-4B84-8C3C-A68309B96AA1}</x14:id>
        </ext>
      </extLst>
    </cfRule>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4CCEDA3-9BB1-4B84-8C3C-A68309B96AA1}">
            <x14:dataBar minLength="0" maxLength="100" gradient="0">
              <x14:cfvo type="autoMin"/>
              <x14:cfvo type="autoMax"/>
              <x14:negativeFillColor rgb="FFFF0000"/>
              <x14:axisColor rgb="FF000000"/>
            </x14:dataBar>
          </x14:cfRule>
          <xm:sqref>A2:B73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C9D85-9C29-406C-B08B-94CC0D15FAD1}">
  <dimension ref="A1:B86"/>
  <sheetViews>
    <sheetView workbookViewId="0">
      <selection activeCell="H7" sqref="H7"/>
    </sheetView>
  </sheetViews>
  <sheetFormatPr defaultRowHeight="14.5" x14ac:dyDescent="0.35"/>
  <cols>
    <col min="1" max="1" width="10.08984375" bestFit="1" customWidth="1"/>
    <col min="2" max="2" width="9" bestFit="1" customWidth="1"/>
  </cols>
  <sheetData>
    <row r="1" spans="1:2" x14ac:dyDescent="0.35">
      <c r="A1" t="s">
        <v>0</v>
      </c>
      <c r="B1" t="s">
        <v>9</v>
      </c>
    </row>
    <row r="2" spans="1:2" x14ac:dyDescent="0.35">
      <c r="A2" t="s">
        <v>19</v>
      </c>
      <c r="B2" t="s">
        <v>203</v>
      </c>
    </row>
    <row r="3" spans="1:2" x14ac:dyDescent="0.35">
      <c r="A3" t="s">
        <v>19</v>
      </c>
      <c r="B3" t="s">
        <v>204</v>
      </c>
    </row>
    <row r="4" spans="1:2" x14ac:dyDescent="0.35">
      <c r="A4" t="s">
        <v>19</v>
      </c>
      <c r="B4" t="s">
        <v>205</v>
      </c>
    </row>
    <row r="5" spans="1:2" x14ac:dyDescent="0.35">
      <c r="A5" t="s">
        <v>32</v>
      </c>
      <c r="B5" t="s">
        <v>206</v>
      </c>
    </row>
    <row r="6" spans="1:2" x14ac:dyDescent="0.35">
      <c r="A6" t="s">
        <v>32</v>
      </c>
      <c r="B6" t="s">
        <v>203</v>
      </c>
    </row>
    <row r="7" spans="1:2" x14ac:dyDescent="0.35">
      <c r="A7" t="s">
        <v>32</v>
      </c>
      <c r="B7" t="s">
        <v>207</v>
      </c>
    </row>
    <row r="8" spans="1:2" x14ac:dyDescent="0.35">
      <c r="A8" t="s">
        <v>45</v>
      </c>
      <c r="B8" t="s">
        <v>208</v>
      </c>
    </row>
    <row r="9" spans="1:2" x14ac:dyDescent="0.35">
      <c r="A9" t="s">
        <v>45</v>
      </c>
      <c r="B9" t="s">
        <v>203</v>
      </c>
    </row>
    <row r="10" spans="1:2" x14ac:dyDescent="0.35">
      <c r="A10" t="s">
        <v>45</v>
      </c>
      <c r="B10" t="s">
        <v>209</v>
      </c>
    </row>
    <row r="11" spans="1:2" x14ac:dyDescent="0.35">
      <c r="A11" t="s">
        <v>45</v>
      </c>
      <c r="B11" t="s">
        <v>207</v>
      </c>
    </row>
    <row r="12" spans="1:2" x14ac:dyDescent="0.35">
      <c r="A12" t="s">
        <v>57</v>
      </c>
      <c r="B12" t="s">
        <v>206</v>
      </c>
    </row>
    <row r="13" spans="1:2" x14ac:dyDescent="0.35">
      <c r="A13" t="s">
        <v>57</v>
      </c>
      <c r="B13" t="s">
        <v>208</v>
      </c>
    </row>
    <row r="14" spans="1:2" x14ac:dyDescent="0.35">
      <c r="A14" t="s">
        <v>57</v>
      </c>
      <c r="B14" t="s">
        <v>203</v>
      </c>
    </row>
    <row r="15" spans="1:2" x14ac:dyDescent="0.35">
      <c r="A15" t="s">
        <v>57</v>
      </c>
      <c r="B15" t="s">
        <v>207</v>
      </c>
    </row>
    <row r="16" spans="1:2" x14ac:dyDescent="0.35">
      <c r="A16" t="s">
        <v>57</v>
      </c>
      <c r="B16" t="s">
        <v>210</v>
      </c>
    </row>
    <row r="17" spans="1:2" x14ac:dyDescent="0.35">
      <c r="A17" t="s">
        <v>66</v>
      </c>
      <c r="B17" t="s">
        <v>208</v>
      </c>
    </row>
    <row r="18" spans="1:2" x14ac:dyDescent="0.35">
      <c r="A18" t="s">
        <v>66</v>
      </c>
      <c r="B18" t="s">
        <v>203</v>
      </c>
    </row>
    <row r="19" spans="1:2" x14ac:dyDescent="0.35">
      <c r="A19" t="s">
        <v>66</v>
      </c>
      <c r="B19" t="s">
        <v>207</v>
      </c>
    </row>
    <row r="20" spans="1:2" x14ac:dyDescent="0.35">
      <c r="A20" t="s">
        <v>75</v>
      </c>
      <c r="B20" t="s">
        <v>203</v>
      </c>
    </row>
    <row r="21" spans="1:2" x14ac:dyDescent="0.35">
      <c r="A21" t="s">
        <v>75</v>
      </c>
      <c r="B21" t="s">
        <v>211</v>
      </c>
    </row>
    <row r="22" spans="1:2" x14ac:dyDescent="0.35">
      <c r="A22" t="s">
        <v>75</v>
      </c>
      <c r="B22" t="s">
        <v>205</v>
      </c>
    </row>
    <row r="23" spans="1:2" x14ac:dyDescent="0.35">
      <c r="A23" t="s">
        <v>85</v>
      </c>
      <c r="B23" t="s">
        <v>208</v>
      </c>
    </row>
    <row r="24" spans="1:2" x14ac:dyDescent="0.35">
      <c r="A24" t="s">
        <v>85</v>
      </c>
      <c r="B24" t="s">
        <v>204</v>
      </c>
    </row>
    <row r="25" spans="1:2" x14ac:dyDescent="0.35">
      <c r="A25" t="s">
        <v>85</v>
      </c>
      <c r="B25" t="s">
        <v>207</v>
      </c>
    </row>
    <row r="26" spans="1:2" x14ac:dyDescent="0.35">
      <c r="A26" t="s">
        <v>85</v>
      </c>
      <c r="B26" t="s">
        <v>211</v>
      </c>
    </row>
    <row r="27" spans="1:2" x14ac:dyDescent="0.35">
      <c r="A27" t="s">
        <v>85</v>
      </c>
      <c r="B27" t="s">
        <v>212</v>
      </c>
    </row>
    <row r="28" spans="1:2" x14ac:dyDescent="0.35">
      <c r="A28" t="s">
        <v>94</v>
      </c>
      <c r="B28" t="s">
        <v>206</v>
      </c>
    </row>
    <row r="29" spans="1:2" x14ac:dyDescent="0.35">
      <c r="A29" t="s">
        <v>94</v>
      </c>
      <c r="B29" t="s">
        <v>208</v>
      </c>
    </row>
    <row r="30" spans="1:2" x14ac:dyDescent="0.35">
      <c r="A30" t="s">
        <v>94</v>
      </c>
      <c r="B30" t="s">
        <v>203</v>
      </c>
    </row>
    <row r="31" spans="1:2" x14ac:dyDescent="0.35">
      <c r="A31" t="s">
        <v>94</v>
      </c>
      <c r="B31" t="s">
        <v>207</v>
      </c>
    </row>
    <row r="32" spans="1:2" x14ac:dyDescent="0.35">
      <c r="A32" t="s">
        <v>103</v>
      </c>
      <c r="B32" t="s">
        <v>106</v>
      </c>
    </row>
    <row r="33" spans="1:2" x14ac:dyDescent="0.35">
      <c r="A33" t="s">
        <v>109</v>
      </c>
      <c r="B33" t="s">
        <v>206</v>
      </c>
    </row>
    <row r="34" spans="1:2" x14ac:dyDescent="0.35">
      <c r="A34" t="s">
        <v>109</v>
      </c>
      <c r="B34" t="s">
        <v>208</v>
      </c>
    </row>
    <row r="35" spans="1:2" x14ac:dyDescent="0.35">
      <c r="A35" t="s">
        <v>109</v>
      </c>
      <c r="B35" t="s">
        <v>203</v>
      </c>
    </row>
    <row r="36" spans="1:2" x14ac:dyDescent="0.35">
      <c r="A36" t="s">
        <v>109</v>
      </c>
      <c r="B36" t="s">
        <v>207</v>
      </c>
    </row>
    <row r="37" spans="1:2" x14ac:dyDescent="0.35">
      <c r="A37" t="s">
        <v>109</v>
      </c>
      <c r="B37" t="s">
        <v>210</v>
      </c>
    </row>
    <row r="38" spans="1:2" x14ac:dyDescent="0.35">
      <c r="A38" t="s">
        <v>109</v>
      </c>
      <c r="B38" t="s">
        <v>205</v>
      </c>
    </row>
    <row r="39" spans="1:2" x14ac:dyDescent="0.35">
      <c r="A39" t="s">
        <v>118</v>
      </c>
      <c r="B39" t="s">
        <v>208</v>
      </c>
    </row>
    <row r="40" spans="1:2" x14ac:dyDescent="0.35">
      <c r="A40" t="s">
        <v>118</v>
      </c>
      <c r="B40" t="s">
        <v>203</v>
      </c>
    </row>
    <row r="41" spans="1:2" x14ac:dyDescent="0.35">
      <c r="A41" t="s">
        <v>118</v>
      </c>
      <c r="B41" t="s">
        <v>207</v>
      </c>
    </row>
    <row r="42" spans="1:2" x14ac:dyDescent="0.35">
      <c r="A42" t="s">
        <v>118</v>
      </c>
      <c r="B42" t="s">
        <v>211</v>
      </c>
    </row>
    <row r="43" spans="1:2" x14ac:dyDescent="0.35">
      <c r="A43" t="s">
        <v>118</v>
      </c>
      <c r="B43" t="s">
        <v>205</v>
      </c>
    </row>
    <row r="44" spans="1:2" x14ac:dyDescent="0.35">
      <c r="A44" t="s">
        <v>127</v>
      </c>
      <c r="B44" t="s">
        <v>206</v>
      </c>
    </row>
    <row r="45" spans="1:2" x14ac:dyDescent="0.35">
      <c r="A45" t="s">
        <v>127</v>
      </c>
      <c r="B45" t="s">
        <v>213</v>
      </c>
    </row>
    <row r="46" spans="1:2" x14ac:dyDescent="0.35">
      <c r="A46" t="s">
        <v>127</v>
      </c>
      <c r="B46" t="s">
        <v>203</v>
      </c>
    </row>
    <row r="47" spans="1:2" x14ac:dyDescent="0.35">
      <c r="A47" t="s">
        <v>136</v>
      </c>
      <c r="B47" t="s">
        <v>204</v>
      </c>
    </row>
    <row r="48" spans="1:2" x14ac:dyDescent="0.35">
      <c r="A48" t="s">
        <v>136</v>
      </c>
      <c r="B48" t="s">
        <v>207</v>
      </c>
    </row>
    <row r="49" spans="1:2" x14ac:dyDescent="0.35">
      <c r="A49" t="s">
        <v>136</v>
      </c>
      <c r="B49" t="s">
        <v>205</v>
      </c>
    </row>
    <row r="50" spans="1:2" x14ac:dyDescent="0.35">
      <c r="A50" t="s">
        <v>146</v>
      </c>
      <c r="B50" t="s">
        <v>208</v>
      </c>
    </row>
    <row r="51" spans="1:2" x14ac:dyDescent="0.35">
      <c r="A51" t="s">
        <v>146</v>
      </c>
      <c r="B51" t="s">
        <v>207</v>
      </c>
    </row>
    <row r="52" spans="1:2" x14ac:dyDescent="0.35">
      <c r="A52" t="s">
        <v>153</v>
      </c>
      <c r="B52" t="s">
        <v>208</v>
      </c>
    </row>
    <row r="53" spans="1:2" x14ac:dyDescent="0.35">
      <c r="A53" t="s">
        <v>153</v>
      </c>
      <c r="B53" t="s">
        <v>207</v>
      </c>
    </row>
    <row r="54" spans="1:2" x14ac:dyDescent="0.35">
      <c r="A54" t="s">
        <v>153</v>
      </c>
      <c r="B54" t="s">
        <v>211</v>
      </c>
    </row>
    <row r="55" spans="1:2" x14ac:dyDescent="0.35">
      <c r="A55" t="s">
        <v>153</v>
      </c>
      <c r="B55" t="s">
        <v>212</v>
      </c>
    </row>
    <row r="56" spans="1:2" x14ac:dyDescent="0.35">
      <c r="A56" t="s">
        <v>162</v>
      </c>
      <c r="B56" t="s">
        <v>208</v>
      </c>
    </row>
    <row r="57" spans="1:2" x14ac:dyDescent="0.35">
      <c r="A57" t="s">
        <v>162</v>
      </c>
      <c r="B57" t="s">
        <v>207</v>
      </c>
    </row>
    <row r="58" spans="1:2" x14ac:dyDescent="0.35">
      <c r="A58" t="s">
        <v>162</v>
      </c>
      <c r="B58" t="s">
        <v>211</v>
      </c>
    </row>
    <row r="59" spans="1:2" x14ac:dyDescent="0.35">
      <c r="A59" t="s">
        <v>162</v>
      </c>
      <c r="B59" t="s">
        <v>210</v>
      </c>
    </row>
    <row r="60" spans="1:2" x14ac:dyDescent="0.35">
      <c r="A60" t="s">
        <v>162</v>
      </c>
      <c r="B60" t="s">
        <v>205</v>
      </c>
    </row>
    <row r="61" spans="1:2" x14ac:dyDescent="0.35">
      <c r="A61" t="s">
        <v>172</v>
      </c>
      <c r="B61" t="s">
        <v>206</v>
      </c>
    </row>
    <row r="62" spans="1:2" x14ac:dyDescent="0.35">
      <c r="A62" t="s">
        <v>172</v>
      </c>
      <c r="B62" t="s">
        <v>208</v>
      </c>
    </row>
    <row r="63" spans="1:2" x14ac:dyDescent="0.35">
      <c r="A63" t="s">
        <v>172</v>
      </c>
      <c r="B63" t="s">
        <v>203</v>
      </c>
    </row>
    <row r="64" spans="1:2" x14ac:dyDescent="0.35">
      <c r="A64" t="s">
        <v>172</v>
      </c>
      <c r="B64" t="s">
        <v>207</v>
      </c>
    </row>
    <row r="65" spans="1:2" x14ac:dyDescent="0.35">
      <c r="A65" t="s">
        <v>172</v>
      </c>
      <c r="B65" t="s">
        <v>211</v>
      </c>
    </row>
    <row r="66" spans="1:2" x14ac:dyDescent="0.35">
      <c r="A66" t="s">
        <v>172</v>
      </c>
      <c r="B66" t="s">
        <v>210</v>
      </c>
    </row>
    <row r="67" spans="1:2" x14ac:dyDescent="0.35">
      <c r="A67" t="s">
        <v>172</v>
      </c>
      <c r="B67" t="s">
        <v>205</v>
      </c>
    </row>
    <row r="68" spans="1:2" x14ac:dyDescent="0.35">
      <c r="A68" t="s">
        <v>179</v>
      </c>
      <c r="B68" t="s">
        <v>206</v>
      </c>
    </row>
    <row r="69" spans="1:2" x14ac:dyDescent="0.35">
      <c r="A69" t="s">
        <v>179</v>
      </c>
      <c r="B69" t="s">
        <v>208</v>
      </c>
    </row>
    <row r="70" spans="1:2" x14ac:dyDescent="0.35">
      <c r="A70" t="s">
        <v>179</v>
      </c>
      <c r="B70" t="s">
        <v>203</v>
      </c>
    </row>
    <row r="71" spans="1:2" x14ac:dyDescent="0.35">
      <c r="A71" t="s">
        <v>179</v>
      </c>
      <c r="B71" t="s">
        <v>207</v>
      </c>
    </row>
    <row r="72" spans="1:2" x14ac:dyDescent="0.35">
      <c r="A72" t="s">
        <v>179</v>
      </c>
      <c r="B72" t="s">
        <v>211</v>
      </c>
    </row>
    <row r="73" spans="1:2" x14ac:dyDescent="0.35">
      <c r="A73" t="s">
        <v>179</v>
      </c>
      <c r="B73" t="s">
        <v>210</v>
      </c>
    </row>
    <row r="74" spans="1:2" x14ac:dyDescent="0.35">
      <c r="A74" t="s">
        <v>179</v>
      </c>
      <c r="B74" t="s">
        <v>205</v>
      </c>
    </row>
    <row r="75" spans="1:2" x14ac:dyDescent="0.35">
      <c r="A75" t="s">
        <v>187</v>
      </c>
      <c r="B75" t="s">
        <v>206</v>
      </c>
    </row>
    <row r="76" spans="1:2" x14ac:dyDescent="0.35">
      <c r="A76" t="s">
        <v>187</v>
      </c>
      <c r="B76" t="s">
        <v>208</v>
      </c>
    </row>
    <row r="77" spans="1:2" x14ac:dyDescent="0.35">
      <c r="A77" t="s">
        <v>187</v>
      </c>
      <c r="B77" t="s">
        <v>203</v>
      </c>
    </row>
    <row r="78" spans="1:2" x14ac:dyDescent="0.35">
      <c r="A78" t="s">
        <v>187</v>
      </c>
      <c r="B78" t="s">
        <v>207</v>
      </c>
    </row>
    <row r="79" spans="1:2" x14ac:dyDescent="0.35">
      <c r="A79" t="s">
        <v>187</v>
      </c>
      <c r="B79" t="s">
        <v>211</v>
      </c>
    </row>
    <row r="80" spans="1:2" x14ac:dyDescent="0.35">
      <c r="A80" t="s">
        <v>187</v>
      </c>
      <c r="B80" t="s">
        <v>210</v>
      </c>
    </row>
    <row r="81" spans="1:2" x14ac:dyDescent="0.35">
      <c r="A81" t="s">
        <v>187</v>
      </c>
      <c r="B81" t="s">
        <v>205</v>
      </c>
    </row>
    <row r="82" spans="1:2" x14ac:dyDescent="0.35">
      <c r="A82" t="s">
        <v>194</v>
      </c>
      <c r="B82" t="s">
        <v>206</v>
      </c>
    </row>
    <row r="83" spans="1:2" x14ac:dyDescent="0.35">
      <c r="A83" t="s">
        <v>194</v>
      </c>
      <c r="B83" t="s">
        <v>208</v>
      </c>
    </row>
    <row r="84" spans="1:2" x14ac:dyDescent="0.35">
      <c r="A84" t="s">
        <v>194</v>
      </c>
      <c r="B84" t="s">
        <v>207</v>
      </c>
    </row>
    <row r="85" spans="1:2" x14ac:dyDescent="0.35">
      <c r="A85" t="s">
        <v>194</v>
      </c>
      <c r="B85" t="s">
        <v>211</v>
      </c>
    </row>
    <row r="86" spans="1:2" x14ac:dyDescent="0.35">
      <c r="A86" t="s">
        <v>194</v>
      </c>
      <c r="B86" t="s">
        <v>210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3D40-4C3F-4D8D-9FC3-EDD52DA08175}">
  <dimension ref="A1:E25"/>
  <sheetViews>
    <sheetView workbookViewId="0">
      <selection activeCell="J7" sqref="J7"/>
    </sheetView>
  </sheetViews>
  <sheetFormatPr defaultRowHeight="14.5" x14ac:dyDescent="0.35"/>
  <cols>
    <col min="1" max="1" width="37.08984375" bestFit="1" customWidth="1"/>
    <col min="2" max="2" width="11" bestFit="1" customWidth="1"/>
    <col min="4" max="4" width="37.08984375" bestFit="1" customWidth="1"/>
    <col min="5" max="5" width="16.26953125" bestFit="1" customWidth="1"/>
  </cols>
  <sheetData>
    <row r="1" spans="1:5" x14ac:dyDescent="0.35">
      <c r="A1" t="s">
        <v>1</v>
      </c>
      <c r="B1" t="s">
        <v>13</v>
      </c>
      <c r="D1" s="2" t="s">
        <v>1</v>
      </c>
      <c r="E1" t="s">
        <v>378</v>
      </c>
    </row>
    <row r="2" spans="1:5" x14ac:dyDescent="0.35">
      <c r="A2" t="s">
        <v>20</v>
      </c>
      <c r="B2" t="s">
        <v>42</v>
      </c>
      <c r="D2" s="3" t="s">
        <v>20</v>
      </c>
      <c r="E2">
        <v>2</v>
      </c>
    </row>
    <row r="3" spans="1:5" x14ac:dyDescent="0.35">
      <c r="A3" t="s">
        <v>20</v>
      </c>
      <c r="B3" t="s">
        <v>375</v>
      </c>
      <c r="D3" s="3" t="s">
        <v>33</v>
      </c>
      <c r="E3">
        <v>1</v>
      </c>
    </row>
    <row r="4" spans="1:5" x14ac:dyDescent="0.35">
      <c r="A4" t="s">
        <v>33</v>
      </c>
      <c r="B4" t="s">
        <v>42</v>
      </c>
      <c r="D4" s="3" t="s">
        <v>46</v>
      </c>
      <c r="E4">
        <v>2</v>
      </c>
    </row>
    <row r="5" spans="1:5" x14ac:dyDescent="0.35">
      <c r="A5" t="s">
        <v>46</v>
      </c>
      <c r="B5" t="s">
        <v>42</v>
      </c>
      <c r="D5" s="3" t="s">
        <v>58</v>
      </c>
      <c r="E5">
        <v>1</v>
      </c>
    </row>
    <row r="6" spans="1:5" x14ac:dyDescent="0.35">
      <c r="A6" t="s">
        <v>46</v>
      </c>
      <c r="B6" t="s">
        <v>376</v>
      </c>
      <c r="D6" s="3" t="s">
        <v>67</v>
      </c>
      <c r="E6">
        <v>1</v>
      </c>
    </row>
    <row r="7" spans="1:5" x14ac:dyDescent="0.35">
      <c r="A7" t="s">
        <v>58</v>
      </c>
      <c r="B7" t="s">
        <v>42</v>
      </c>
      <c r="D7" s="3" t="s">
        <v>76</v>
      </c>
      <c r="E7">
        <v>1</v>
      </c>
    </row>
    <row r="8" spans="1:5" x14ac:dyDescent="0.35">
      <c r="A8" t="s">
        <v>67</v>
      </c>
      <c r="B8" t="s">
        <v>42</v>
      </c>
      <c r="D8" s="3" t="s">
        <v>86</v>
      </c>
      <c r="E8">
        <v>1</v>
      </c>
    </row>
    <row r="9" spans="1:5" x14ac:dyDescent="0.35">
      <c r="A9" t="s">
        <v>76</v>
      </c>
      <c r="B9" t="s">
        <v>42</v>
      </c>
      <c r="D9" s="3" t="s">
        <v>95</v>
      </c>
      <c r="E9">
        <v>1</v>
      </c>
    </row>
    <row r="10" spans="1:5" x14ac:dyDescent="0.35">
      <c r="A10" t="s">
        <v>86</v>
      </c>
      <c r="B10" t="s">
        <v>42</v>
      </c>
      <c r="D10" s="3" t="s">
        <v>104</v>
      </c>
      <c r="E10">
        <v>1</v>
      </c>
    </row>
    <row r="11" spans="1:5" x14ac:dyDescent="0.35">
      <c r="A11" t="s">
        <v>95</v>
      </c>
      <c r="B11" t="s">
        <v>42</v>
      </c>
      <c r="D11" s="3" t="s">
        <v>110</v>
      </c>
      <c r="E11">
        <v>1</v>
      </c>
    </row>
    <row r="12" spans="1:5" x14ac:dyDescent="0.35">
      <c r="A12" t="s">
        <v>104</v>
      </c>
      <c r="B12" t="s">
        <v>42</v>
      </c>
      <c r="D12" s="3" t="s">
        <v>119</v>
      </c>
      <c r="E12">
        <v>1</v>
      </c>
    </row>
    <row r="13" spans="1:5" x14ac:dyDescent="0.35">
      <c r="A13" t="s">
        <v>110</v>
      </c>
      <c r="B13" t="s">
        <v>42</v>
      </c>
      <c r="D13" s="3" t="s">
        <v>128</v>
      </c>
      <c r="E13">
        <v>1</v>
      </c>
    </row>
    <row r="14" spans="1:5" x14ac:dyDescent="0.35">
      <c r="A14" t="s">
        <v>119</v>
      </c>
      <c r="B14" t="s">
        <v>42</v>
      </c>
      <c r="D14" s="3" t="s">
        <v>137</v>
      </c>
      <c r="E14">
        <v>1</v>
      </c>
    </row>
    <row r="15" spans="1:5" x14ac:dyDescent="0.35">
      <c r="A15" t="s">
        <v>128</v>
      </c>
      <c r="B15" t="s">
        <v>42</v>
      </c>
      <c r="D15" s="3" t="s">
        <v>147</v>
      </c>
      <c r="E15">
        <v>1</v>
      </c>
    </row>
    <row r="16" spans="1:5" x14ac:dyDescent="0.35">
      <c r="A16" t="s">
        <v>137</v>
      </c>
      <c r="B16" t="s">
        <v>42</v>
      </c>
      <c r="D16" s="3" t="s">
        <v>154</v>
      </c>
      <c r="E16">
        <v>1</v>
      </c>
    </row>
    <row r="17" spans="1:5" x14ac:dyDescent="0.35">
      <c r="A17" t="s">
        <v>147</v>
      </c>
      <c r="B17" t="s">
        <v>42</v>
      </c>
      <c r="D17" s="3" t="s">
        <v>163</v>
      </c>
      <c r="E17">
        <v>4</v>
      </c>
    </row>
    <row r="18" spans="1:5" x14ac:dyDescent="0.35">
      <c r="A18" t="s">
        <v>154</v>
      </c>
      <c r="B18" t="s">
        <v>42</v>
      </c>
      <c r="D18" s="3" t="s">
        <v>180</v>
      </c>
      <c r="E18">
        <v>1</v>
      </c>
    </row>
    <row r="19" spans="1:5" x14ac:dyDescent="0.35">
      <c r="A19" t="s">
        <v>163</v>
      </c>
      <c r="B19" t="s">
        <v>42</v>
      </c>
      <c r="D19" s="3" t="s">
        <v>188</v>
      </c>
      <c r="E19">
        <v>1</v>
      </c>
    </row>
    <row r="20" spans="1:5" x14ac:dyDescent="0.35">
      <c r="A20" t="s">
        <v>163</v>
      </c>
      <c r="B20" t="s">
        <v>377</v>
      </c>
      <c r="D20" s="3" t="s">
        <v>195</v>
      </c>
      <c r="E20">
        <v>1</v>
      </c>
    </row>
    <row r="21" spans="1:5" x14ac:dyDescent="0.35">
      <c r="A21" t="s">
        <v>163</v>
      </c>
      <c r="B21" t="s">
        <v>42</v>
      </c>
      <c r="D21" s="3" t="s">
        <v>278</v>
      </c>
      <c r="E21">
        <v>24</v>
      </c>
    </row>
    <row r="22" spans="1:5" x14ac:dyDescent="0.35">
      <c r="A22" t="s">
        <v>163</v>
      </c>
      <c r="B22" t="s">
        <v>377</v>
      </c>
    </row>
    <row r="23" spans="1:5" x14ac:dyDescent="0.35">
      <c r="A23" t="s">
        <v>180</v>
      </c>
      <c r="B23" t="s">
        <v>42</v>
      </c>
    </row>
    <row r="24" spans="1:5" x14ac:dyDescent="0.35">
      <c r="A24" t="s">
        <v>188</v>
      </c>
      <c r="B24" t="s">
        <v>42</v>
      </c>
    </row>
    <row r="25" spans="1:5" x14ac:dyDescent="0.35">
      <c r="A25" t="s">
        <v>195</v>
      </c>
      <c r="B25" t="s">
        <v>42</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32BD-A495-4FF2-AD7F-4F9AA2B011CC}">
  <dimension ref="A1:E30"/>
  <sheetViews>
    <sheetView workbookViewId="0">
      <selection activeCell="D1" sqref="D1"/>
    </sheetView>
  </sheetViews>
  <sheetFormatPr defaultRowHeight="14.5" x14ac:dyDescent="0.35"/>
  <cols>
    <col min="1" max="1" width="37.08984375" bestFit="1" customWidth="1"/>
    <col min="2" max="2" width="9.7265625" bestFit="1" customWidth="1"/>
    <col min="4" max="4" width="37.08984375" bestFit="1" customWidth="1"/>
    <col min="5" max="5" width="15" bestFit="1" customWidth="1"/>
  </cols>
  <sheetData>
    <row r="1" spans="1:5" x14ac:dyDescent="0.35">
      <c r="A1" t="s">
        <v>1</v>
      </c>
      <c r="B1" t="s">
        <v>14</v>
      </c>
      <c r="D1" s="2" t="s">
        <v>1</v>
      </c>
      <c r="E1" t="s">
        <v>384</v>
      </c>
    </row>
    <row r="2" spans="1:5" x14ac:dyDescent="0.35">
      <c r="A2" s="4" t="s">
        <v>20</v>
      </c>
      <c r="B2" s="4" t="s">
        <v>30</v>
      </c>
      <c r="D2" s="3" t="s">
        <v>20</v>
      </c>
      <c r="E2" s="4">
        <v>1</v>
      </c>
    </row>
    <row r="3" spans="1:5" x14ac:dyDescent="0.35">
      <c r="A3" s="4" t="s">
        <v>33</v>
      </c>
      <c r="B3" s="4" t="s">
        <v>379</v>
      </c>
      <c r="D3" s="3" t="s">
        <v>33</v>
      </c>
      <c r="E3" s="4">
        <v>3</v>
      </c>
    </row>
    <row r="4" spans="1:5" x14ac:dyDescent="0.35">
      <c r="A4" s="4" t="s">
        <v>33</v>
      </c>
      <c r="B4" s="4" t="s">
        <v>30</v>
      </c>
      <c r="D4" s="3" t="s">
        <v>46</v>
      </c>
      <c r="E4" s="4">
        <v>2</v>
      </c>
    </row>
    <row r="5" spans="1:5" x14ac:dyDescent="0.35">
      <c r="A5" s="4" t="s">
        <v>33</v>
      </c>
      <c r="B5" s="4" t="s">
        <v>380</v>
      </c>
      <c r="D5" s="3" t="s">
        <v>58</v>
      </c>
      <c r="E5" s="4">
        <v>1</v>
      </c>
    </row>
    <row r="6" spans="1:5" x14ac:dyDescent="0.35">
      <c r="A6" s="4" t="s">
        <v>46</v>
      </c>
      <c r="B6" s="4" t="s">
        <v>30</v>
      </c>
      <c r="D6" s="3" t="s">
        <v>67</v>
      </c>
      <c r="E6" s="4">
        <v>2</v>
      </c>
    </row>
    <row r="7" spans="1:5" x14ac:dyDescent="0.35">
      <c r="A7" s="4" t="s">
        <v>46</v>
      </c>
      <c r="B7" s="4" t="s">
        <v>379</v>
      </c>
      <c r="D7" s="3" t="s">
        <v>76</v>
      </c>
      <c r="E7" s="4">
        <v>1</v>
      </c>
    </row>
    <row r="8" spans="1:5" x14ac:dyDescent="0.35">
      <c r="A8" s="4" t="s">
        <v>58</v>
      </c>
      <c r="B8" s="4" t="s">
        <v>30</v>
      </c>
      <c r="D8" s="3" t="s">
        <v>86</v>
      </c>
      <c r="E8" s="4">
        <v>1</v>
      </c>
    </row>
    <row r="9" spans="1:5" x14ac:dyDescent="0.35">
      <c r="A9" s="4" t="s">
        <v>67</v>
      </c>
      <c r="B9" s="4" t="s">
        <v>30</v>
      </c>
      <c r="D9" s="3" t="s">
        <v>95</v>
      </c>
      <c r="E9" s="4">
        <v>1</v>
      </c>
    </row>
    <row r="10" spans="1:5" x14ac:dyDescent="0.35">
      <c r="A10" s="4" t="s">
        <v>67</v>
      </c>
      <c r="B10" s="4" t="s">
        <v>379</v>
      </c>
      <c r="D10" s="3" t="s">
        <v>104</v>
      </c>
      <c r="E10" s="4">
        <v>1</v>
      </c>
    </row>
    <row r="11" spans="1:5" x14ac:dyDescent="0.35">
      <c r="A11" s="4" t="s">
        <v>76</v>
      </c>
      <c r="B11" s="4" t="s">
        <v>30</v>
      </c>
      <c r="D11" s="3" t="s">
        <v>110</v>
      </c>
      <c r="E11" s="4">
        <v>4</v>
      </c>
    </row>
    <row r="12" spans="1:5" x14ac:dyDescent="0.35">
      <c r="A12" s="4" t="s">
        <v>86</v>
      </c>
      <c r="B12" s="4" t="s">
        <v>30</v>
      </c>
      <c r="D12" s="3" t="s">
        <v>119</v>
      </c>
      <c r="E12" s="4">
        <v>3</v>
      </c>
    </row>
    <row r="13" spans="1:5" x14ac:dyDescent="0.35">
      <c r="A13" s="4" t="s">
        <v>95</v>
      </c>
      <c r="B13" s="4" t="s">
        <v>30</v>
      </c>
      <c r="D13" s="3" t="s">
        <v>128</v>
      </c>
      <c r="E13" s="4">
        <v>1</v>
      </c>
    </row>
    <row r="14" spans="1:5" x14ac:dyDescent="0.35">
      <c r="A14" s="4" t="s">
        <v>104</v>
      </c>
      <c r="B14" s="4" t="s">
        <v>30</v>
      </c>
      <c r="D14" s="3" t="s">
        <v>137</v>
      </c>
      <c r="E14" s="4">
        <v>1</v>
      </c>
    </row>
    <row r="15" spans="1:5" x14ac:dyDescent="0.35">
      <c r="A15" s="4" t="s">
        <v>110</v>
      </c>
      <c r="B15" s="4" t="s">
        <v>30</v>
      </c>
      <c r="D15" s="3" t="s">
        <v>147</v>
      </c>
      <c r="E15" s="4">
        <v>1</v>
      </c>
    </row>
    <row r="16" spans="1:5" x14ac:dyDescent="0.35">
      <c r="A16" s="4" t="s">
        <v>110</v>
      </c>
      <c r="B16" s="4" t="s">
        <v>381</v>
      </c>
      <c r="D16" s="3" t="s">
        <v>154</v>
      </c>
      <c r="E16" s="4">
        <v>1</v>
      </c>
    </row>
    <row r="17" spans="1:5" x14ac:dyDescent="0.35">
      <c r="A17" s="4" t="s">
        <v>110</v>
      </c>
      <c r="B17" s="4" t="s">
        <v>382</v>
      </c>
      <c r="D17" s="3" t="s">
        <v>163</v>
      </c>
      <c r="E17" s="4">
        <v>2</v>
      </c>
    </row>
    <row r="18" spans="1:5" x14ac:dyDescent="0.35">
      <c r="A18" s="4" t="s">
        <v>110</v>
      </c>
      <c r="B18" s="4" t="s">
        <v>380</v>
      </c>
      <c r="D18" s="3" t="s">
        <v>180</v>
      </c>
      <c r="E18" s="4">
        <v>1</v>
      </c>
    </row>
    <row r="19" spans="1:5" x14ac:dyDescent="0.35">
      <c r="A19" s="4" t="s">
        <v>119</v>
      </c>
      <c r="B19" s="4" t="s">
        <v>30</v>
      </c>
      <c r="D19" s="3" t="s">
        <v>188</v>
      </c>
      <c r="E19" s="4">
        <v>1</v>
      </c>
    </row>
    <row r="20" spans="1:5" x14ac:dyDescent="0.35">
      <c r="A20" s="4" t="s">
        <v>119</v>
      </c>
      <c r="B20" s="4" t="s">
        <v>383</v>
      </c>
      <c r="D20" s="3" t="s">
        <v>195</v>
      </c>
      <c r="E20" s="4">
        <v>1</v>
      </c>
    </row>
    <row r="21" spans="1:5" x14ac:dyDescent="0.35">
      <c r="A21" s="4" t="s">
        <v>119</v>
      </c>
      <c r="B21" s="4" t="s">
        <v>379</v>
      </c>
      <c r="D21" s="3" t="s">
        <v>278</v>
      </c>
      <c r="E21" s="4">
        <v>29</v>
      </c>
    </row>
    <row r="22" spans="1:5" x14ac:dyDescent="0.35">
      <c r="A22" s="4" t="s">
        <v>128</v>
      </c>
      <c r="B22" s="4" t="s">
        <v>30</v>
      </c>
    </row>
    <row r="23" spans="1:5" x14ac:dyDescent="0.35">
      <c r="A23" s="4" t="s">
        <v>137</v>
      </c>
      <c r="B23" s="4" t="s">
        <v>30</v>
      </c>
    </row>
    <row r="24" spans="1:5" x14ac:dyDescent="0.35">
      <c r="A24" s="4" t="s">
        <v>147</v>
      </c>
      <c r="B24" s="4" t="s">
        <v>30</v>
      </c>
    </row>
    <row r="25" spans="1:5" x14ac:dyDescent="0.35">
      <c r="A25" s="4" t="s">
        <v>154</v>
      </c>
      <c r="B25" s="4" t="s">
        <v>30</v>
      </c>
    </row>
    <row r="26" spans="1:5" x14ac:dyDescent="0.35">
      <c r="A26" s="4" t="s">
        <v>163</v>
      </c>
      <c r="B26" s="4" t="s">
        <v>30</v>
      </c>
    </row>
    <row r="27" spans="1:5" x14ac:dyDescent="0.35">
      <c r="A27" s="4" t="s">
        <v>163</v>
      </c>
      <c r="B27" s="4" t="s">
        <v>30</v>
      </c>
    </row>
    <row r="28" spans="1:5" x14ac:dyDescent="0.35">
      <c r="A28" s="4" t="s">
        <v>180</v>
      </c>
      <c r="B28" s="4" t="s">
        <v>30</v>
      </c>
    </row>
    <row r="29" spans="1:5" x14ac:dyDescent="0.35">
      <c r="A29" s="4" t="s">
        <v>188</v>
      </c>
      <c r="B29" s="4" t="s">
        <v>30</v>
      </c>
    </row>
    <row r="30" spans="1:5" x14ac:dyDescent="0.35">
      <c r="A30" s="4" t="s">
        <v>195</v>
      </c>
      <c r="B30" s="4" t="s">
        <v>30</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4F38F-854A-443A-9707-25CAE9C512E8}">
  <dimension ref="A1:S21"/>
  <sheetViews>
    <sheetView workbookViewId="0">
      <selection activeCell="B2" sqref="B2"/>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t="s">
        <v>23</v>
      </c>
      <c r="F2">
        <v>1999</v>
      </c>
      <c r="G2" s="1">
        <v>36250</v>
      </c>
      <c r="H2" s="1">
        <v>43781</v>
      </c>
      <c r="I2" t="s">
        <v>24</v>
      </c>
      <c r="J2" t="s">
        <v>25</v>
      </c>
      <c r="K2" t="s">
        <v>26</v>
      </c>
      <c r="L2" t="s">
        <v>27</v>
      </c>
      <c r="M2" t="s">
        <v>28</v>
      </c>
      <c r="N2" t="s">
        <v>29</v>
      </c>
      <c r="O2" t="s">
        <v>30</v>
      </c>
      <c r="P2" t="s">
        <v>31</v>
      </c>
      <c r="Q2">
        <v>70</v>
      </c>
      <c r="R2">
        <v>7.3</v>
      </c>
      <c r="S2">
        <v>283945</v>
      </c>
    </row>
    <row r="3" spans="1:19" x14ac:dyDescent="0.35">
      <c r="A3" t="s">
        <v>32</v>
      </c>
      <c r="B3" t="s">
        <v>33</v>
      </c>
      <c r="C3" t="s">
        <v>34</v>
      </c>
      <c r="D3" t="s">
        <v>35</v>
      </c>
      <c r="E3" t="s">
        <v>36</v>
      </c>
      <c r="F3">
        <v>2018</v>
      </c>
      <c r="G3" s="1">
        <v>43549</v>
      </c>
      <c r="H3" s="1">
        <v>43889</v>
      </c>
      <c r="I3" t="s">
        <v>37</v>
      </c>
      <c r="J3" t="s">
        <v>38</v>
      </c>
      <c r="K3" t="s">
        <v>39</v>
      </c>
      <c r="L3" t="s">
        <v>40</v>
      </c>
      <c r="M3" t="s">
        <v>41</v>
      </c>
      <c r="N3" t="s">
        <v>42</v>
      </c>
      <c r="O3" t="s">
        <v>43</v>
      </c>
      <c r="P3" t="s">
        <v>44</v>
      </c>
      <c r="Q3">
        <v>0</v>
      </c>
      <c r="R3">
        <v>6.2</v>
      </c>
      <c r="S3">
        <v>124</v>
      </c>
    </row>
    <row r="4" spans="1:19" x14ac:dyDescent="0.35">
      <c r="A4" t="s">
        <v>45</v>
      </c>
      <c r="B4" t="s">
        <v>46</v>
      </c>
      <c r="C4" t="s">
        <v>47</v>
      </c>
      <c r="D4" t="s">
        <v>22</v>
      </c>
      <c r="E4" t="s">
        <v>48</v>
      </c>
      <c r="F4">
        <v>1996</v>
      </c>
      <c r="G4" s="1">
        <v>35396</v>
      </c>
      <c r="H4" s="1">
        <v>43781</v>
      </c>
      <c r="I4" t="s">
        <v>49</v>
      </c>
      <c r="J4" t="s">
        <v>50</v>
      </c>
      <c r="K4" t="s">
        <v>51</v>
      </c>
      <c r="L4" t="s">
        <v>52</v>
      </c>
      <c r="M4" t="s">
        <v>53</v>
      </c>
      <c r="N4" t="s">
        <v>54</v>
      </c>
      <c r="O4" t="s">
        <v>55</v>
      </c>
      <c r="P4" t="s">
        <v>56</v>
      </c>
      <c r="Q4">
        <v>49</v>
      </c>
      <c r="R4">
        <v>5.7</v>
      </c>
      <c r="S4">
        <v>97785</v>
      </c>
    </row>
    <row r="5" spans="1:19" x14ac:dyDescent="0.35">
      <c r="A5" t="s">
        <v>57</v>
      </c>
      <c r="B5" t="s">
        <v>58</v>
      </c>
      <c r="C5" t="s">
        <v>59</v>
      </c>
      <c r="D5" t="s">
        <v>22</v>
      </c>
      <c r="E5" t="s">
        <v>48</v>
      </c>
      <c r="F5">
        <v>2002</v>
      </c>
      <c r="G5" s="1">
        <v>37642</v>
      </c>
      <c r="H5" s="1">
        <v>43781</v>
      </c>
      <c r="I5" t="s">
        <v>60</v>
      </c>
      <c r="J5" t="s">
        <v>61</v>
      </c>
      <c r="K5" t="s">
        <v>62</v>
      </c>
      <c r="L5" t="s">
        <v>63</v>
      </c>
      <c r="M5" t="s">
        <v>64</v>
      </c>
      <c r="N5" t="s">
        <v>42</v>
      </c>
      <c r="O5" t="s">
        <v>30</v>
      </c>
      <c r="P5" t="s">
        <v>65</v>
      </c>
      <c r="Q5">
        <v>0</v>
      </c>
      <c r="R5">
        <v>5.8</v>
      </c>
      <c r="S5">
        <v>7434</v>
      </c>
    </row>
    <row r="6" spans="1:19" x14ac:dyDescent="0.35">
      <c r="A6" t="s">
        <v>66</v>
      </c>
      <c r="B6" t="s">
        <v>67</v>
      </c>
      <c r="C6" t="s">
        <v>68</v>
      </c>
      <c r="D6" t="s">
        <v>22</v>
      </c>
      <c r="E6" t="s">
        <v>48</v>
      </c>
      <c r="F6">
        <v>2000</v>
      </c>
      <c r="G6" s="1">
        <v>36852</v>
      </c>
      <c r="H6" s="1">
        <v>43781</v>
      </c>
      <c r="I6" t="s">
        <v>69</v>
      </c>
      <c r="J6" t="s">
        <v>70</v>
      </c>
      <c r="K6" t="s">
        <v>71</v>
      </c>
      <c r="L6" t="s">
        <v>72</v>
      </c>
      <c r="M6" t="s">
        <v>73</v>
      </c>
      <c r="N6" t="s">
        <v>42</v>
      </c>
      <c r="O6" t="s">
        <v>55</v>
      </c>
      <c r="P6" t="s">
        <v>74</v>
      </c>
      <c r="Q6">
        <v>35</v>
      </c>
      <c r="R6">
        <v>4.9000000000000004</v>
      </c>
      <c r="S6">
        <v>33444</v>
      </c>
    </row>
    <row r="7" spans="1:19" x14ac:dyDescent="0.35">
      <c r="A7" t="s">
        <v>75</v>
      </c>
      <c r="B7" t="s">
        <v>76</v>
      </c>
      <c r="C7" t="s">
        <v>77</v>
      </c>
      <c r="D7" t="s">
        <v>35</v>
      </c>
      <c r="E7" t="s">
        <v>78</v>
      </c>
      <c r="F7">
        <v>2011</v>
      </c>
      <c r="G7" s="1">
        <v>40888</v>
      </c>
      <c r="H7" s="1">
        <v>43781</v>
      </c>
      <c r="I7" t="s">
        <v>79</v>
      </c>
      <c r="J7" t="s">
        <v>80</v>
      </c>
      <c r="K7" t="s">
        <v>81</v>
      </c>
      <c r="L7" t="s">
        <v>82</v>
      </c>
      <c r="M7" t="s">
        <v>83</v>
      </c>
      <c r="N7" t="s">
        <v>42</v>
      </c>
      <c r="O7" t="s">
        <v>30</v>
      </c>
      <c r="P7" t="s">
        <v>84</v>
      </c>
      <c r="Q7">
        <v>0</v>
      </c>
      <c r="R7">
        <v>6.3</v>
      </c>
      <c r="S7">
        <v>4933</v>
      </c>
    </row>
    <row r="8" spans="1:19" x14ac:dyDescent="0.35">
      <c r="A8" t="s">
        <v>85</v>
      </c>
      <c r="B8" t="s">
        <v>86</v>
      </c>
      <c r="C8" t="s">
        <v>87</v>
      </c>
      <c r="D8" t="s">
        <v>22</v>
      </c>
      <c r="E8" t="s">
        <v>48</v>
      </c>
      <c r="F8">
        <v>1954</v>
      </c>
      <c r="G8" s="1">
        <v>20290</v>
      </c>
      <c r="H8" s="1">
        <v>43781</v>
      </c>
      <c r="I8" t="s">
        <v>88</v>
      </c>
      <c r="J8" t="s">
        <v>89</v>
      </c>
      <c r="K8" t="s">
        <v>90</v>
      </c>
      <c r="L8" t="s">
        <v>91</v>
      </c>
      <c r="M8" t="s">
        <v>92</v>
      </c>
      <c r="N8" t="s">
        <v>42</v>
      </c>
      <c r="O8" t="s">
        <v>30</v>
      </c>
      <c r="P8" t="s">
        <v>93</v>
      </c>
      <c r="Q8">
        <v>83</v>
      </c>
      <c r="R8">
        <v>7.2</v>
      </c>
      <c r="S8">
        <v>27761</v>
      </c>
    </row>
    <row r="9" spans="1:19" x14ac:dyDescent="0.35">
      <c r="A9" t="s">
        <v>94</v>
      </c>
      <c r="B9" t="s">
        <v>95</v>
      </c>
      <c r="C9" t="s">
        <v>96</v>
      </c>
      <c r="D9" t="s">
        <v>22</v>
      </c>
      <c r="E9" t="s">
        <v>48</v>
      </c>
      <c r="F9">
        <v>1998</v>
      </c>
      <c r="G9" s="1">
        <v>36124</v>
      </c>
      <c r="H9" s="1">
        <v>43781</v>
      </c>
      <c r="I9" t="s">
        <v>97</v>
      </c>
      <c r="J9" t="s">
        <v>98</v>
      </c>
      <c r="K9" t="s">
        <v>99</v>
      </c>
      <c r="L9" t="s">
        <v>100</v>
      </c>
      <c r="M9" t="s">
        <v>101</v>
      </c>
      <c r="N9" t="s">
        <v>42</v>
      </c>
      <c r="O9" t="s">
        <v>30</v>
      </c>
      <c r="P9" t="s">
        <v>102</v>
      </c>
      <c r="Q9">
        <v>77</v>
      </c>
      <c r="R9">
        <v>7.2</v>
      </c>
      <c r="S9">
        <v>257065</v>
      </c>
    </row>
    <row r="10" spans="1:19" x14ac:dyDescent="0.35">
      <c r="A10" t="s">
        <v>103</v>
      </c>
      <c r="B10" t="s">
        <v>104</v>
      </c>
      <c r="C10" t="s">
        <v>105</v>
      </c>
      <c r="D10" t="s">
        <v>35</v>
      </c>
      <c r="E10" t="s">
        <v>36</v>
      </c>
      <c r="F10">
        <v>2020</v>
      </c>
      <c r="G10" s="1">
        <v>43931</v>
      </c>
      <c r="H10" s="1">
        <v>43931</v>
      </c>
      <c r="I10" t="s">
        <v>37</v>
      </c>
      <c r="J10" t="s">
        <v>106</v>
      </c>
      <c r="K10" t="s">
        <v>107</v>
      </c>
      <c r="L10" t="s">
        <v>40</v>
      </c>
      <c r="M10" t="s">
        <v>108</v>
      </c>
      <c r="N10" t="s">
        <v>42</v>
      </c>
      <c r="O10" t="s">
        <v>30</v>
      </c>
      <c r="P10" t="s">
        <v>44</v>
      </c>
      <c r="Q10">
        <v>0</v>
      </c>
      <c r="R10">
        <v>7.6</v>
      </c>
      <c r="S10">
        <v>35</v>
      </c>
    </row>
    <row r="11" spans="1:19" x14ac:dyDescent="0.35">
      <c r="A11" t="s">
        <v>109</v>
      </c>
      <c r="B11" t="s">
        <v>110</v>
      </c>
      <c r="C11" t="s">
        <v>111</v>
      </c>
      <c r="D11" t="s">
        <v>22</v>
      </c>
      <c r="E11" t="s">
        <v>48</v>
      </c>
      <c r="F11">
        <v>1995</v>
      </c>
      <c r="G11" s="1">
        <v>34796</v>
      </c>
      <c r="H11" s="1">
        <v>43781</v>
      </c>
      <c r="I11" t="s">
        <v>112</v>
      </c>
      <c r="J11" t="s">
        <v>113</v>
      </c>
      <c r="K11" t="s">
        <v>71</v>
      </c>
      <c r="L11" t="s">
        <v>114</v>
      </c>
      <c r="M11" t="s">
        <v>115</v>
      </c>
      <c r="N11" t="s">
        <v>42</v>
      </c>
      <c r="O11" t="s">
        <v>116</v>
      </c>
      <c r="P11" t="s">
        <v>117</v>
      </c>
      <c r="Q11">
        <v>0</v>
      </c>
      <c r="R11">
        <v>6.8</v>
      </c>
      <c r="S11">
        <v>43655</v>
      </c>
    </row>
    <row r="12" spans="1:19" x14ac:dyDescent="0.35">
      <c r="A12" t="s">
        <v>118</v>
      </c>
      <c r="B12" t="s">
        <v>119</v>
      </c>
      <c r="C12" t="s">
        <v>120</v>
      </c>
      <c r="D12" t="s">
        <v>22</v>
      </c>
      <c r="E12" t="s">
        <v>78</v>
      </c>
      <c r="F12">
        <v>1995</v>
      </c>
      <c r="G12" s="1">
        <v>34922</v>
      </c>
      <c r="H12" s="1">
        <v>43781</v>
      </c>
      <c r="I12" t="s">
        <v>121</v>
      </c>
      <c r="J12" t="s">
        <v>122</v>
      </c>
      <c r="K12" t="s">
        <v>123</v>
      </c>
      <c r="L12" t="s">
        <v>124</v>
      </c>
      <c r="M12" t="s">
        <v>125</v>
      </c>
      <c r="N12" t="s">
        <v>42</v>
      </c>
      <c r="O12" t="s">
        <v>126</v>
      </c>
      <c r="P12" t="s">
        <v>84</v>
      </c>
      <c r="Q12">
        <v>34</v>
      </c>
      <c r="R12">
        <v>4.7</v>
      </c>
      <c r="S12">
        <v>5479</v>
      </c>
    </row>
    <row r="13" spans="1:19" x14ac:dyDescent="0.35">
      <c r="A13" t="s">
        <v>127</v>
      </c>
      <c r="B13" t="s">
        <v>128</v>
      </c>
      <c r="C13" t="s">
        <v>129</v>
      </c>
      <c r="D13" t="s">
        <v>35</v>
      </c>
      <c r="E13" t="s">
        <v>130</v>
      </c>
      <c r="F13">
        <v>1946</v>
      </c>
      <c r="G13" s="1">
        <v>53394</v>
      </c>
      <c r="H13" s="1">
        <v>43781</v>
      </c>
      <c r="I13" t="s">
        <v>131</v>
      </c>
      <c r="J13" t="s">
        <v>132</v>
      </c>
      <c r="K13" t="s">
        <v>133</v>
      </c>
      <c r="L13" t="s">
        <v>134</v>
      </c>
      <c r="M13" t="s">
        <v>135</v>
      </c>
      <c r="N13" t="s">
        <v>42</v>
      </c>
      <c r="O13" t="s">
        <v>30</v>
      </c>
      <c r="P13" t="s">
        <v>44</v>
      </c>
      <c r="Q13">
        <v>0</v>
      </c>
      <c r="R13">
        <v>7</v>
      </c>
      <c r="S13">
        <v>488</v>
      </c>
    </row>
    <row r="14" spans="1:19" x14ac:dyDescent="0.35">
      <c r="A14" t="s">
        <v>136</v>
      </c>
      <c r="B14" t="s">
        <v>137</v>
      </c>
      <c r="C14" t="s">
        <v>138</v>
      </c>
      <c r="D14" t="s">
        <v>22</v>
      </c>
      <c r="E14" t="s">
        <v>139</v>
      </c>
      <c r="F14">
        <v>2002</v>
      </c>
      <c r="G14" s="1">
        <v>37491</v>
      </c>
      <c r="H14" s="1">
        <v>43781</v>
      </c>
      <c r="I14" t="s">
        <v>140</v>
      </c>
      <c r="J14" t="s">
        <v>141</v>
      </c>
      <c r="K14" t="s">
        <v>142</v>
      </c>
      <c r="L14" t="s">
        <v>143</v>
      </c>
      <c r="M14" t="s">
        <v>144</v>
      </c>
      <c r="N14" t="s">
        <v>42</v>
      </c>
      <c r="O14" t="s">
        <v>30</v>
      </c>
      <c r="P14" t="s">
        <v>145</v>
      </c>
      <c r="Q14">
        <v>0</v>
      </c>
      <c r="R14">
        <v>6.1</v>
      </c>
      <c r="S14">
        <v>1042</v>
      </c>
    </row>
    <row r="15" spans="1:19" x14ac:dyDescent="0.35">
      <c r="A15" t="s">
        <v>146</v>
      </c>
      <c r="B15" t="s">
        <v>147</v>
      </c>
      <c r="C15" t="s">
        <v>148</v>
      </c>
      <c r="D15" t="s">
        <v>22</v>
      </c>
      <c r="E15" t="s">
        <v>48</v>
      </c>
      <c r="F15">
        <v>1977</v>
      </c>
      <c r="G15" s="1">
        <v>28298</v>
      </c>
      <c r="H15" s="1">
        <v>43924</v>
      </c>
      <c r="I15" t="s">
        <v>149</v>
      </c>
      <c r="J15" t="s">
        <v>150</v>
      </c>
      <c r="K15" t="s">
        <v>151</v>
      </c>
      <c r="L15" t="s">
        <v>151</v>
      </c>
      <c r="M15" t="s">
        <v>152</v>
      </c>
      <c r="N15" t="s">
        <v>42</v>
      </c>
      <c r="O15" t="s">
        <v>30</v>
      </c>
      <c r="P15" t="s">
        <v>44</v>
      </c>
      <c r="Q15">
        <v>0</v>
      </c>
      <c r="R15">
        <v>7.1</v>
      </c>
      <c r="S15">
        <v>59</v>
      </c>
    </row>
    <row r="16" spans="1:19" x14ac:dyDescent="0.35">
      <c r="A16" t="s">
        <v>153</v>
      </c>
      <c r="B16" t="s">
        <v>154</v>
      </c>
      <c r="C16" t="s">
        <v>155</v>
      </c>
      <c r="D16" t="s">
        <v>35</v>
      </c>
      <c r="E16" t="s">
        <v>78</v>
      </c>
      <c r="F16">
        <v>2018</v>
      </c>
      <c r="G16" s="1">
        <v>43168</v>
      </c>
      <c r="H16" s="1">
        <v>43915</v>
      </c>
      <c r="I16" t="s">
        <v>156</v>
      </c>
      <c r="J16" t="s">
        <v>157</v>
      </c>
      <c r="K16" t="s">
        <v>158</v>
      </c>
      <c r="L16" t="s">
        <v>159</v>
      </c>
      <c r="M16" t="s">
        <v>160</v>
      </c>
      <c r="N16" t="s">
        <v>42</v>
      </c>
      <c r="O16" t="s">
        <v>30</v>
      </c>
      <c r="P16" t="s">
        <v>161</v>
      </c>
      <c r="Q16">
        <v>53</v>
      </c>
      <c r="R16">
        <v>4.2</v>
      </c>
      <c r="S16">
        <v>38659</v>
      </c>
    </row>
    <row r="17" spans="1:19" x14ac:dyDescent="0.35">
      <c r="A17" t="s">
        <v>162</v>
      </c>
      <c r="B17" t="s">
        <v>163</v>
      </c>
      <c r="C17" t="s">
        <v>164</v>
      </c>
      <c r="D17" t="s">
        <v>22</v>
      </c>
      <c r="E17" t="s">
        <v>78</v>
      </c>
      <c r="F17">
        <v>2019</v>
      </c>
      <c r="G17" s="1">
        <v>43609</v>
      </c>
      <c r="H17" s="1">
        <v>43838</v>
      </c>
      <c r="I17" t="s">
        <v>165</v>
      </c>
      <c r="J17" t="s">
        <v>166</v>
      </c>
      <c r="K17" t="s">
        <v>167</v>
      </c>
      <c r="L17" t="s">
        <v>168</v>
      </c>
      <c r="M17" t="s">
        <v>169</v>
      </c>
      <c r="N17" t="s">
        <v>170</v>
      </c>
      <c r="O17" t="s">
        <v>30</v>
      </c>
      <c r="P17" t="s">
        <v>171</v>
      </c>
      <c r="Q17">
        <v>53</v>
      </c>
      <c r="R17">
        <v>7</v>
      </c>
      <c r="S17">
        <v>204537</v>
      </c>
    </row>
    <row r="18" spans="1:19" x14ac:dyDescent="0.35">
      <c r="A18" t="s">
        <v>172</v>
      </c>
      <c r="B18" t="s">
        <v>163</v>
      </c>
      <c r="C18" t="s">
        <v>173</v>
      </c>
      <c r="D18" t="s">
        <v>22</v>
      </c>
      <c r="E18" t="s">
        <v>48</v>
      </c>
      <c r="F18">
        <v>1992</v>
      </c>
      <c r="G18" s="1">
        <v>33933</v>
      </c>
      <c r="H18" s="1">
        <v>43781</v>
      </c>
      <c r="I18" t="s">
        <v>79</v>
      </c>
      <c r="J18" t="s">
        <v>174</v>
      </c>
      <c r="K18" t="s">
        <v>175</v>
      </c>
      <c r="L18" t="s">
        <v>176</v>
      </c>
      <c r="M18" t="s">
        <v>177</v>
      </c>
      <c r="N18" t="s">
        <v>42</v>
      </c>
      <c r="O18" t="s">
        <v>30</v>
      </c>
      <c r="P18" t="s">
        <v>178</v>
      </c>
      <c r="Q18">
        <v>86</v>
      </c>
      <c r="R18">
        <v>8</v>
      </c>
      <c r="S18">
        <v>356283</v>
      </c>
    </row>
    <row r="19" spans="1:19" x14ac:dyDescent="0.35">
      <c r="A19" t="s">
        <v>179</v>
      </c>
      <c r="B19" t="s">
        <v>180</v>
      </c>
      <c r="C19" t="s">
        <v>181</v>
      </c>
      <c r="D19" t="s">
        <v>35</v>
      </c>
      <c r="E19" t="s">
        <v>182</v>
      </c>
      <c r="F19">
        <v>1996</v>
      </c>
      <c r="G19" s="1">
        <v>35290</v>
      </c>
      <c r="H19" s="1">
        <v>43781</v>
      </c>
      <c r="I19" t="s">
        <v>183</v>
      </c>
      <c r="J19" t="s">
        <v>174</v>
      </c>
      <c r="K19" t="s">
        <v>184</v>
      </c>
      <c r="L19" t="s">
        <v>185</v>
      </c>
      <c r="M19" t="s">
        <v>186</v>
      </c>
      <c r="N19" t="s">
        <v>42</v>
      </c>
      <c r="O19" t="s">
        <v>30</v>
      </c>
      <c r="P19" t="s">
        <v>145</v>
      </c>
      <c r="Q19">
        <v>0</v>
      </c>
      <c r="R19">
        <v>6.4</v>
      </c>
      <c r="S19">
        <v>31603</v>
      </c>
    </row>
    <row r="20" spans="1:19" x14ac:dyDescent="0.35">
      <c r="A20" t="s">
        <v>187</v>
      </c>
      <c r="B20" t="s">
        <v>188</v>
      </c>
      <c r="C20" t="s">
        <v>189</v>
      </c>
      <c r="D20" t="s">
        <v>22</v>
      </c>
      <c r="E20" t="s">
        <v>48</v>
      </c>
      <c r="F20">
        <v>1994</v>
      </c>
      <c r="G20" s="1">
        <v>34474</v>
      </c>
      <c r="H20" s="1">
        <v>43781</v>
      </c>
      <c r="I20" t="s">
        <v>190</v>
      </c>
      <c r="J20" t="s">
        <v>174</v>
      </c>
      <c r="K20" t="s">
        <v>191</v>
      </c>
      <c r="L20" t="s">
        <v>192</v>
      </c>
      <c r="M20" t="s">
        <v>193</v>
      </c>
      <c r="N20" t="s">
        <v>42</v>
      </c>
      <c r="O20" t="s">
        <v>30</v>
      </c>
      <c r="P20" t="s">
        <v>84</v>
      </c>
      <c r="Q20">
        <v>0</v>
      </c>
      <c r="R20">
        <v>5.9</v>
      </c>
      <c r="S20">
        <v>25623</v>
      </c>
    </row>
    <row r="21" spans="1:19" x14ac:dyDescent="0.35">
      <c r="A21" t="s">
        <v>194</v>
      </c>
      <c r="B21" t="s">
        <v>195</v>
      </c>
      <c r="C21" t="s">
        <v>196</v>
      </c>
      <c r="D21" t="s">
        <v>35</v>
      </c>
      <c r="E21" t="s">
        <v>48</v>
      </c>
      <c r="F21">
        <v>1951</v>
      </c>
      <c r="G21" s="1">
        <v>18885</v>
      </c>
      <c r="H21" s="1">
        <v>43781</v>
      </c>
      <c r="I21" t="s">
        <v>197</v>
      </c>
      <c r="J21" t="s">
        <v>198</v>
      </c>
      <c r="K21" t="s">
        <v>199</v>
      </c>
      <c r="L21" t="s">
        <v>200</v>
      </c>
      <c r="M21" t="s">
        <v>201</v>
      </c>
      <c r="N21" t="s">
        <v>42</v>
      </c>
      <c r="O21" t="s">
        <v>30</v>
      </c>
      <c r="P21" t="s">
        <v>202</v>
      </c>
      <c r="Q21">
        <v>68</v>
      </c>
      <c r="R21">
        <v>7.4</v>
      </c>
      <c r="S21">
        <v>123377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9AE9F2-C7D1-476E-8B89-1ECBE818D9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disney_plus_shows_cleaned</vt:lpstr>
      <vt:lpstr>Writer_Table_Cleaned</vt:lpstr>
      <vt:lpstr>Type_Table_Cleaned</vt:lpstr>
      <vt:lpstr>Actors_Table_Cleaned</vt:lpstr>
      <vt:lpstr>Genre_Table_Cleaned</vt:lpstr>
      <vt:lpstr>Language_Table_Cleaned</vt:lpstr>
      <vt:lpstr>Country_Table_Cleaned</vt:lpstr>
      <vt:lpstr>disney_plus_shows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Gokul G Raj</cp:lastModifiedBy>
  <dcterms:created xsi:type="dcterms:W3CDTF">2026-04-05T14:51:15Z</dcterms:created>
  <dcterms:modified xsi:type="dcterms:W3CDTF">2026-04-07T10:20:42Z</dcterms:modified>
</cp:coreProperties>
</file>